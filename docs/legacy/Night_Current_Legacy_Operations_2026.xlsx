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fe02b5dba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1f164dabec046bb"/>
    <x:sheet xmlns:r="http://schemas.openxmlformats.org/officeDocument/2006/relationships" name="Inventory" sheetId="2" r:id="R82bb127e75404c90"/>
    <x:sheet xmlns:r="http://schemas.openxmlformats.org/officeDocument/2006/relationships" name="Customers" sheetId="3" r:id="R91b32098ceed4cef"/>
    <x:sheet xmlns:r="http://schemas.openxmlformats.org/officeDocument/2006/relationships" name="Rentals" sheetId="4" r:id="R2f52128e72734fca"/>
    <x:sheet xmlns:r="http://schemas.openxmlformats.org/officeDocument/2006/relationships" name="Rental Line Items" sheetId="5" r:id="R4720678063a64516"/>
    <x:sheet xmlns:r="http://schemas.openxmlformats.org/officeDocument/2006/relationships" name="Returns &amp; Issues" sheetId="6" r:id="Ree284921841f45ab"/>
    <x:sheet xmlns:r="http://schemas.openxmlformats.org/officeDocument/2006/relationships" name="Availability Check" sheetId="7" r:id="R59d981c41536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#,##0"/>
    <x:numFmt numFmtId="202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05464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263A"/>
      </x:patternFill>
    </x:fill>
    <x:fill>
      <x:patternFill patternType="solid">
        <x:fgColor rgb="FFEAF1F5"/>
      </x:patternFill>
    </x:fill>
    <x:fill>
      <x:patternFill patternType="solid">
        <x:fgColor rgb="FF5B3F8C"/>
      </x:patternFill>
    </x:fill>
    <x:fill>
      <x:patternFill patternType="solid">
        <x:fgColor rgb="FFF8FBFD"/>
      </x:patternFill>
    </x:fill>
    <x:fill>
      <x:patternFill patternType="solid">
        <x:fgColor rgb="FF087E8B"/>
      </x:patternFill>
    </x:fill>
    <x:fill>
      <x:patternFill patternType="solid">
        <x:fgColor rgb="FFFFF4CC"/>
      </x:patternFill>
    </x:fill>
  </x:fills>
  <x:borders count="12">
    <x:border/>
    <x:border>
      <x:left style="thin">
        <x:color rgb="FFD7E0E6"/>
      </x:left>
      <x:top style="thin">
        <x:color rgb="FFD7E0E6"/>
      </x:top>
    </x:border>
    <x:border>
      <x:top style="thin">
        <x:color rgb="FFD7E0E6"/>
      </x:top>
    </x:border>
    <x:border>
      <x:right style="thin">
        <x:color rgb="FFD7E0E6"/>
      </x:right>
      <x:top style="thin">
        <x:color rgb="FFD7E0E6"/>
      </x:top>
    </x:border>
    <x:border>
      <x:left style="thin">
        <x:color rgb="FFD7E0E6"/>
      </x:left>
    </x:border>
    <x:border>
      <x:right style="thin">
        <x:color rgb="FFD7E0E6"/>
      </x:right>
    </x:border>
    <x:border>
      <x:left style="thin">
        <x:color rgb="FFD7E0E6"/>
      </x:left>
      <x:bottom style="thin">
        <x:color rgb="FFD7E0E6"/>
      </x:bottom>
    </x:border>
    <x:border>
      <x:bottom style="thin">
        <x:color rgb="FFD7E0E6"/>
      </x:bottom>
    </x:border>
    <x:border>
      <x:right style="thin">
        <x:color rgb="FFD7E0E6"/>
      </x:right>
      <x:bottom style="thin">
        <x:color rgb="FFD7E0E6"/>
      </x:bottom>
    </x:border>
    <x:border>
      <x:left style="thin">
        <x:color rgb="FFD7E0E6"/>
      </x:left>
      <x:top style="thin">
        <x:color rgb="FFD7E0E6"/>
      </x:top>
      <x:bottom style="thin">
        <x:color rgb="FFD7E0E6"/>
      </x:bottom>
    </x:border>
    <x:border>
      <x:right style="thin">
        <x:color rgb="FFD7E0E6"/>
      </x:right>
      <x:top style="thin">
        <x:color rgb="FFD7E0E6"/>
      </x:top>
      <x:bottom style="thin">
        <x:color rgb="FFD7E0E6"/>
      </x:bottom>
    </x:border>
    <x:border>
      <x:top style="thin">
        <x:color rgb="FFD7E0E6"/>
      </x:top>
      <x:bottom style="thin">
        <x:color rgb="FFD7E0E6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3" fillId="6" borderId="9" xfId="0" applyNumberFormat="1" applyFont="1" applyFill="1" applyBorder="1" applyAlignment="1">
      <x:alignment wrapText="1"/>
    </x:xf>
    <x:xf numFmtId="0" fontId="3" fillId="6" borderId="10" xfId="0" applyNumberFormat="1" applyFont="1" applyFill="1" applyBorder="1" applyAlignment="1">
      <x:alignment wrapText="1"/>
    </x:xf>
    <x:xf numFmtId="0" fontId="3" fillId="6" borderId="9" xfId="0" applyNumberFormat="1" applyFont="1" applyFill="1" applyBorder="1" applyAlignment="1">
      <x:alignment vertical="center" wrapText="1"/>
    </x:xf>
    <x:xf numFmtId="0" fontId="3" fillId="6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6" borderId="11" xfId="0" applyNumberFormat="1" applyFont="1" applyFill="1" applyBorder="1"/>
    <x:xf numFmtId="0" fontId="3" fillId="6" borderId="11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0" fillId="7" borderId="0" xfId="0" applyNumberFormat="1" applyFont="1" applyFill="1" applyBorder="1"/>
    <x:xf numFmtId="202" fontId="0" fillId="7" borderId="0" xfId="0" applyNumberFormat="1" applyFont="1" applyFill="1" applyBorder="1"/>
  </x:cellXfs>
  <x:cellStyles count="1">
    <x:cellStyle name="Normal" xfId="0"/>
  </x:cellStyles>
  <x:dxfs count="9">
    <x:dxf>
      <x:font>
        <x:b/>
        <x:color rgb="FF9B1C1C"/>
      </x:font>
      <x:fill>
        <x:patternFill patternType="solid">
          <x:bgColor rgb="FFFCE4E4"/>
        </x:patternFill>
      </x:fill>
    </x:dxf>
    <x:dxf>
      <x:font>
        <x:color rgb="FF666666"/>
      </x:font>
      <x:fill>
        <x:patternFill patternType="solid">
          <x:bgColor rgb="FFE7E7E7"/>
        </x:patternFill>
      </x:fill>
    </x:dxf>
    <x:dxf>
      <x:font>
        <x:color rgb="FF7A5700"/>
      </x:font>
      <x:fill>
        <x:patternFill patternType="solid">
          <x:bgColor rgb="FFFFF4CC"/>
        </x:patternFill>
      </x:fill>
    </x:dxf>
    <x:dxf>
      <x:fill>
        <x:patternFill patternType="solid">
          <x:bgColor rgb="FFFFF4CC"/>
        </x:patternFill>
      </x:fill>
    </x:dxf>
    <x:dxf>
      <x:font>
        <x:color rgb="FF666666"/>
      </x:font>
      <x:fill>
        <x:patternFill patternType="solid">
          <x:bgColor rgb="FFE7E7E7"/>
        </x:patternFill>
      </x:fill>
    </x:dxf>
    <x:dxf>
      <x:font>
        <x:b/>
        <x:color rgb="FF9B1C1C"/>
      </x:font>
      <x:fill>
        <x:patternFill patternType="solid">
          <x:bgColor rgb="FFFCE4E4"/>
        </x:patternFill>
      </x:fill>
    </x:dxf>
    <x:dxf>
      <x:fill>
        <x:patternFill patternType="solid">
          <x:bgColor rgb="FFFFF4CC"/>
        </x:patternFill>
      </x:fill>
    </x:dxf>
    <x:dxf>
      <x:font>
        <x:b/>
        <x:color rgb="FF9B1C1C"/>
      </x:font>
      <x:fill>
        <x:patternFill patternType="solid">
          <x:bgColor rgb="FFFCE4E4"/>
        </x:patternFill>
      </x:fill>
    </x:dxf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db153eba4c4580" /><Relationship Type="http://schemas.openxmlformats.org/officeDocument/2006/relationships/theme" Target="/xl/theme/theme1.xml" Id="Rad96a11d45e84f6a" /><Relationship Type="http://schemas.openxmlformats.org/officeDocument/2006/relationships/sharedStrings" Target="/xl/sharedStrings.xml" Id="Rc8e1f49f7fb14fdc" /><Relationship Type="http://schemas.openxmlformats.org/officeDocument/2006/relationships/worksheet" Target="/xl/worksheets/sheet1.xml" Id="R81f164dabec046bb" /><Relationship Type="http://schemas.openxmlformats.org/officeDocument/2006/relationships/worksheet" Target="/xl/worksheets/sheet2.xml" Id="R82bb127e75404c90" /><Relationship Type="http://schemas.openxmlformats.org/officeDocument/2006/relationships/worksheet" Target="/xl/worksheets/sheet3.xml" Id="R91b32098ceed4cef" /><Relationship Type="http://schemas.openxmlformats.org/officeDocument/2006/relationships/worksheet" Target="/xl/worksheets/sheet4.xml" Id="R2f52128e72734fca" /><Relationship Type="http://schemas.openxmlformats.org/officeDocument/2006/relationships/worksheet" Target="/xl/worksheets/sheet5.xml" Id="R4720678063a64516" /><Relationship Type="http://schemas.openxmlformats.org/officeDocument/2006/relationships/worksheet" Target="/xl/worksheets/sheet6.xml" Id="Ree284921841f45ab" /><Relationship Type="http://schemas.openxmlformats.org/officeDocument/2006/relationships/worksheet" Target="/xl/worksheets/sheet7.xml" Id="R59d981c415364692" /></Relationships>
</file>

<file path=xl/tables/table1.xml><?xml version="1.0" encoding="utf-8"?>
<x:table xmlns:x="http://schemas.openxmlformats.org/spreadsheetml/2006/main" id="1" name="InventoryTable" displayName="InventoryTable" ref="A4:L28" headerRowCount="1" totalsRowCount="0" totalsRowShown="0">
  <x:tableColumns count="12">
    <x:tableColumn id="1" name="Item ID"/>
    <x:tableColumn id="2" name="Category"/>
    <x:tableColumn id="3" name="Item Name"/>
    <x:tableColumn id="4" name="Description"/>
    <x:tableColumn id="5" name="Qty Owned"/>
    <x:tableColumn id="6" name="Maintenance Hold"/>
    <x:tableColumn id="7" name="Available to Rent"/>
    <x:tableColumn id="8" name="Unit"/>
    <x:tableColumn id="9" name="Daily Rate"/>
    <x:tableColumn id="10" name="Replacement Value"/>
    <x:tableColumn id="11" name="Storage Zone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sTable" displayName="CustomersTable" ref="A4:J34" headerRowCount="1" totalsRowCount="0" totalsRowShown="0">
  <x:tableColumns count="10">
    <x:tableColumn id="1" name="Customer ID"/>
    <x:tableColumn id="2" name="Company / Client"/>
    <x:tableColumn id="3" name="Customer Type"/>
    <x:tableColumn id="4" name="Primary Contact"/>
    <x:tableColumn id="5" name="Email"/>
    <x:tableColumn id="6" name="Phone"/>
    <x:tableColumn id="7" name="Billing City"/>
    <x:tableColumn id="8" name="State"/>
    <x:tableColumn id="9" name="Payment Terms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ntalsTable" displayName="RentalsTable" ref="A4:O48" headerRowCount="1" totalsRowCount="0" totalsRowShown="0">
  <x:tableColumns count="15">
    <x:tableColumn id="1" name="Rental ID"/>
    <x:tableColumn id="2" name="Customer ID"/>
    <x:tableColumn id="3" name="Event / Job Name"/>
    <x:tableColumn id="4" name="Venue / Site"/>
    <x:tableColumn id="5" name="City"/>
    <x:tableColumn id="6" name="State"/>
    <x:tableColumn id="7" name="Start Date"/>
    <x:tableColumn id="8" name="End Date"/>
    <x:tableColumn id="9" name="Status"/>
    <x:tableColumn id="10" name="Booked By"/>
    <x:tableColumn id="11" name="Delivery Method"/>
    <x:tableColumn id="12" name="Quoted Amount"/>
    <x:tableColumn id="13" name="Deposit Received"/>
    <x:tableColumn id="14" name="PO / Reference"/>
    <x:tableColumn id="15" name="Internal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ntalLineItemsTable" displayName="RentalLineItemsTable" ref="A4:K96" headerRowCount="1" totalsRowCount="0" totalsRowShown="0">
  <x:tableColumns count="11">
    <x:tableColumn id="1" name="Line ID"/>
    <x:tableColumn id="2" name="Rental ID"/>
    <x:tableColumn id="3" name="Item ID"/>
    <x:tableColumn id="4" name="Item Name (typed)"/>
    <x:tableColumn id="5" name="Qty Requested"/>
    <x:tableColumn id="6" name="Qty Picked"/>
    <x:tableColumn id="7" name="Daily Rate"/>
    <x:tableColumn id="8" name="Line Days"/>
    <x:tableColumn id="9" name="Line Total"/>
    <x:tableColumn id="10" name="Pick Status"/>
    <x:tableColumn id="11" name="Warehouse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turnsIssuesTable" displayName="ReturnsIssuesTable" ref="A4:K27" headerRowCount="1" totalsRowCount="0" totalsRowShown="0">
  <x:tableColumns count="11">
    <x:tableColumn id="1" name="Issue ID"/>
    <x:tableColumn id="2" name="Return Date"/>
    <x:tableColumn id="3" name="Rental ID"/>
    <x:tableColumn id="4" name="Item ID"/>
    <x:tableColumn id="5" name="Item Name"/>
    <x:tableColumn id="6" name="Qty Sent"/>
    <x:tableColumn id="7" name="Qty Returned"/>
    <x:tableColumn id="8" name="Qty Missing"/>
    <x:tableColumn id="9" name="Condition"/>
    <x:tableColumn id="10" name="Billing Status"/>
    <x:tableColumn id="11" name="Warehouse / Billing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5bc2290a8244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6f6797be9749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3622e26d144c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7c5a9a995849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839645008a46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6" hidden="0" customWidth="1"/>
    <x:col min="4" max="4" width="34" hidden="0" customWidth="1"/>
    <x:col min="5" max="5" width="60" hidden="0" customWidth="1"/>
  </x:cols>
  <x:sheetData>
    <x:row r="1" ht="28" customHeight="1">
      <x:c r="A1" s="4" t="str">
        <x:v>Night Current Event Rentals — Operations Workbook</x:v>
      </x:c>
    </x:row>
    <x:row r="2" ht="24" customHeight="1">
      <x:c r="A2" s="7" t="str">
        <x:v>Legacy spreadsheet used by sales, warehouse, and billing. All names, contacts, and addresses are fictional.</x:v>
      </x:c>
    </x:row>
    <x:row r="4">
      <x:c r="A4" s="9" t="str">
        <x:v>Purpose and operating reality</x:v>
      </x:c>
    </x:row>
    <x:row r="5">
      <x:c r="A5" s="13" t="str">
        <x:v>Night Current is a small live-event rental company focused on EDM, nightlife, club shows, and boutique festivals. Sales staff enter tentative and confirmed bookings manually; warehouse staff track dispatches and returns in separate tabs. This workbook intentionally reflects normal small-company drift: canceled bookings remain in the schedule, quantities are sometimes blank or inconsistent, equipment can be missing or damaged, and a few return records do not link cleanly to rentals.</x:v>
      </x:c>
      <x:c r="B5" s="14"/>
      <x:c r="C5" s="14"/>
      <x:c r="D5" s="14"/>
      <x:c r="E5" s="14"/>
      <x:c r="F5" s="14"/>
      <x:c r="G5" s="14"/>
      <x:c r="H5" s="15"/>
    </x:row>
    <x:row r="6">
      <x:c r="A6" s="16"/>
      <x:c r="B6" s="17"/>
      <x:c r="C6" s="17"/>
      <x:c r="D6" s="17"/>
      <x:c r="E6" s="17"/>
      <x:c r="F6" s="17"/>
      <x:c r="G6" s="17"/>
      <x:c r="H6" s="18"/>
    </x:row>
    <x:row r="7">
      <x:c r="A7" s="16"/>
      <x:c r="B7" s="17"/>
      <x:c r="C7" s="17"/>
      <x:c r="D7" s="17"/>
      <x:c r="E7" s="17"/>
      <x:c r="F7" s="17"/>
      <x:c r="G7" s="17"/>
      <x:c r="H7" s="18"/>
    </x:row>
    <x:row r="8">
      <x:c r="A8" s="16"/>
      <x:c r="B8" s="17"/>
      <x:c r="C8" s="17"/>
      <x:c r="D8" s="17"/>
      <x:c r="E8" s="17"/>
      <x:c r="F8" s="17"/>
      <x:c r="G8" s="17"/>
      <x:c r="H8" s="18"/>
    </x:row>
    <x:row r="9">
      <x:c r="A9" s="19"/>
      <x:c r="B9" s="20"/>
      <x:c r="C9" s="20"/>
      <x:c r="D9" s="20"/>
      <x:c r="E9" s="20"/>
      <x:c r="F9" s="20"/>
      <x:c r="G9" s="20"/>
      <x:c r="H9" s="21"/>
    </x:row>
    <x:row r="11">
      <x:c r="A11" s="28" t="str">
        <x:v>Tab</x:v>
      </x:c>
      <x:c r="B11" s="29" t="str">
        <x:v>What it contains</x:v>
      </x:c>
      <x:c r="D11" s="28" t="str">
        <x:v>Known legacy problems</x:v>
      </x:c>
      <x:c r="E11" s="29" t="str">
        <x:v>Why it matters</x:v>
      </x:c>
    </x:row>
    <x:row r="12">
      <x:c r="A12" s="30" t="str">
        <x:v>Inventory</x:v>
      </x:c>
      <x:c r="B12" s="30" t="str">
        <x:v>Master equipment list, quantities owned, maintenance holds, and replacement values.</x:v>
      </x:c>
      <x:c r="D12" s="30" t="str">
        <x:v>Tentative reservations are mixed with confirmed jobs</x:v>
      </x:c>
      <x:c r="E12" s="30" t="str">
        <x:v>Sales can overpromise or hold too much inventory.</x:v>
      </x:c>
    </x:row>
    <x:row r="13">
      <x:c r="A13" s="30" t="str">
        <x:v>Customers</x:v>
      </x:c>
      <x:c r="B13" s="30" t="str">
        <x:v>Fictional client directory and contacts.</x:v>
      </x:c>
      <x:c r="D13" s="30" t="str">
        <x:v>Canceled jobs still have line items</x:v>
      </x:c>
      <x:c r="E13" s="30" t="str">
        <x:v>Manual filters are required before counting demand.</x:v>
      </x:c>
    </x:row>
    <x:row r="14">
      <x:c r="A14" s="30" t="str">
        <x:v>Rentals</x:v>
      </x:c>
      <x:c r="B14" s="30" t="str">
        <x:v>One row per job: dates, status, site, and commercial notes.</x:v>
      </x:c>
      <x:c r="D14" s="30" t="str">
        <x:v>Returns are not consistently tied to rental IDs</x:v>
      </x:c>
      <x:c r="E14" s="30" t="str">
        <x:v>Shortages cannot always be reconciled to the customer/job.</x:v>
      </x:c>
    </x:row>
    <x:row r="15">
      <x:c r="A15" s="30" t="str">
        <x:v>Rental Line Items</x:v>
      </x:c>
      <x:c r="B15" s="30" t="str">
        <x:v>Requested equipment quantities; source of most availability questions.</x:v>
      </x:c>
      <x:c r="D15" s="30" t="str">
        <x:v>Quantity fields can be blank or zero</x:v>
      </x:c>
      <x:c r="E15" s="30" t="str">
        <x:v>A blank may mean “not picked yet” or an accidental omission.</x:v>
      </x:c>
    </x:row>
    <x:row r="16">
      <x:c r="A16" s="30" t="str">
        <x:v>Returns &amp; Issues</x:v>
      </x:c>
      <x:c r="B16" s="30" t="str">
        <x:v>Warehouse return records, shortages, damage, and billing follow-up.</x:v>
      </x:c>
      <x:c r="D16" s="30" t="str">
        <x:v>Maintenance holds live only on Inventory</x:v>
      </x:c>
      <x:c r="E16" s="30" t="str">
        <x:v>Availability math can ignore equipment that is physically unavailable.</x:v>
      </x:c>
    </x:row>
    <x:row r="17">
      <x:c r="A17" s="30" t="str">
        <x:v>Availability Check</x:v>
      </x:c>
      <x:c r="B17" s="30" t="str">
        <x:v>A hand-built sales worksheet for a requested item/date range. It only counts selected status values and is easy to misread.</x:v>
      </x:c>
      <x:c r="D17" s="30" t="str">
        <x:v>No serial-level tracking for headsets or lighting</x:v>
      </x:c>
      <x:c r="E17" s="30" t="str">
        <x:v>Damage and loss history is imprecise.</x:v>
      </x:c>
    </x:row>
    <x:row r="18">
      <x:c r="A18" s="30" t="str">
        <x:v>Read Me</x:v>
      </x:c>
      <x:c r="B18" s="30" t="str">
        <x:v>Context and known failure modes.</x:v>
      </x:c>
    </x:row>
  </x:sheetData>
  <x:mergeCells>
    <x:mergeCell ref="A1:H1"/>
    <x:mergeCell ref="A2:H2"/>
    <x:mergeCell ref="A4:H4"/>
    <x:mergeCell ref="A5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30" hidden="0" customWidth="1"/>
    <x:col min="4" max="4" width="38" hidden="0" customWidth="1"/>
    <x:col min="5" max="5" width="12" hidden="0" customWidth="1"/>
    <x:col min="6" max="6" width="16" hidden="0" customWidth="1"/>
    <x:col min="7" max="7" width="17" hidden="0" customWidth="1"/>
    <x:col min="8" max="8" width="10" hidden="0" customWidth="1"/>
    <x:col min="9" max="9" width="12" hidden="0" customWidth="1"/>
    <x:col min="10" max="10" width="18" hidden="0" customWidth="1"/>
    <x:col min="11" max="11" width="14" hidden="0" customWidth="1"/>
    <x:col min="12" max="12" width="34" hidden="0" customWidth="1"/>
  </x:cols>
  <x:sheetData>
    <x:row r="1" ht="28" customHeight="1">
      <x:c r="A1" s="4" t="str">
        <x:v>Inventory Master</x:v>
      </x:c>
    </x:row>
    <x:row r="2" ht="24" customHeight="1">
      <x:c r="A2" s="7" t="str">
        <x:v>Counts are manually maintained. “Available to Rent” is a legacy calculation, not a live reservation engine.</x:v>
      </x:c>
    </x:row>
    <x:row r="4">
      <x:c r="A4" s="28" t="str">
        <x:v>Item ID</x:v>
      </x:c>
      <x:c r="B4" s="33" t="str">
        <x:v>Category</x:v>
      </x:c>
      <x:c r="C4" s="33" t="str">
        <x:v>Item Name</x:v>
      </x:c>
      <x:c r="D4" s="33" t="str">
        <x:v>Description</x:v>
      </x:c>
      <x:c r="E4" s="33" t="str">
        <x:v>Qty Owned</x:v>
      </x:c>
      <x:c r="F4" s="33" t="str">
        <x:v>Maintenance Hold</x:v>
      </x:c>
      <x:c r="G4" s="33" t="str">
        <x:v>Available to Rent</x:v>
      </x:c>
      <x:c r="H4" s="33" t="str">
        <x:v>Unit</x:v>
      </x:c>
      <x:c r="I4" s="33" t="str">
        <x:v>Daily Rate</x:v>
      </x:c>
      <x:c r="J4" s="33" t="str">
        <x:v>Replacement Value</x:v>
      </x:c>
      <x:c r="K4" s="33" t="str">
        <x:v>Storage Zone</x:v>
      </x:c>
      <x:c r="L4" s="29" t="str">
        <x:v>Notes</x:v>
      </x:c>
    </x:row>
    <x:row r="5">
      <x:c r="A5" t="str">
        <x:v>NC-SD-001</x:v>
      </x:c>
      <x:c r="B5" t="str">
        <x:v>Silent Disco</x:v>
      </x:c>
      <x:c r="C5" t="str">
        <x:v>Silent-disco headphones, 3-channel</x:v>
      </x:c>
      <x:c r="D5" t="str">
        <x:v>Rechargeable RGB headphones; mixed generations</x:v>
      </x:c>
      <x:c r="E5" s="34" t="n">
        <x:v>900</x:v>
      </x:c>
      <x:c r="F5" s="34" t="n">
        <x:v>38</x:v>
      </x:c>
      <x:c r="G5" s="34" t="n">
        <x:f>E5-F5</x:f>
        <x:v>862</x:v>
      </x:c>
      <x:c r="H5" t="str">
        <x:v>each</x:v>
      </x:c>
      <x:c r="I5" s="35" t="n">
        <x:v>12</x:v>
      </x:c>
      <x:c r="J5" s="35" t="n">
        <x:v>82</x:v>
      </x:c>
      <x:c r="K5" t="str">
        <x:v>A1</x:v>
      </x:c>
      <x:c r="L5" t="str">
        <x:v>Some units have weak battery latches</x:v>
      </x:c>
    </x:row>
    <x:row r="6">
      <x:c r="A6" t="str">
        <x:v>NC-SD-002</x:v>
      </x:c>
      <x:c r="B6" t="str">
        <x:v>Silent Disco</x:v>
      </x:c>
      <x:c r="C6" t="str">
        <x:v>3-channel transmitters</x:v>
      </x:c>
      <x:c r="D6" t="str">
        <x:v>RF transmitters for silent-disco channels</x:v>
      </x:c>
      <x:c r="E6" s="34" t="n">
        <x:v>8</x:v>
      </x:c>
      <x:c r="F6" s="34" t="n">
        <x:v>1</x:v>
      </x:c>
      <x:c r="G6" s="34" t="n">
        <x:f>E6-F6</x:f>
        <x:v>7</x:v>
      </x:c>
      <x:c r="H6" t="str">
        <x:v>each</x:v>
      </x:c>
      <x:c r="I6" s="35" t="n">
        <x:v>85</x:v>
      </x:c>
      <x:c r="J6" s="35" t="n">
        <x:v>520</x:v>
      </x:c>
      <x:c r="K6" t="str">
        <x:v>A1</x:v>
      </x:c>
      <x:c r="L6" t="str">
        <x:v>One has intermittent channel 2</x:v>
      </x:c>
    </x:row>
    <x:row r="7">
      <x:c r="A7" t="str">
        <x:v>NC-CH-001</x:v>
      </x:c>
      <x:c r="B7" t="str">
        <x:v>Power</x:v>
      </x:c>
      <x:c r="C7" t="str">
        <x:v>Headset charging stations</x:v>
      </x:c>
      <x:c r="D7" t="str">
        <x:v>50-headset hard-case charging banks</x:v>
      </x:c>
      <x:c r="E7" s="34" t="n">
        <x:v>18</x:v>
      </x:c>
      <x:c r="F7" s="34" t="n">
        <x:v>2</x:v>
      </x:c>
      <x:c r="G7" s="34" t="n">
        <x:f>E7-F7</x:f>
        <x:v>16</x:v>
      </x:c>
      <x:c r="H7" t="str">
        <x:v>each</x:v>
      </x:c>
      <x:c r="I7" s="35" t="n">
        <x:v>45</x:v>
      </x:c>
      <x:c r="J7" s="35" t="n">
        <x:v>780</x:v>
      </x:c>
      <x:c r="K7" t="str">
        <x:v>A2</x:v>
      </x:c>
      <x:c r="L7" t="str">
        <x:v>Requires inventory count after every return</x:v>
      </x:c>
    </x:row>
    <x:row r="8">
      <x:c r="A8" t="str">
        <x:v>NC-AU-001</x:v>
      </x:c>
      <x:c r="B8" t="str">
        <x:v>Audio</x:v>
      </x:c>
      <x:c r="C8" t="str">
        <x:v>12-inch powered speaker</x:v>
      </x:c>
      <x:c r="D8" t="str">
        <x:v>Compact powered PA speaker</x:v>
      </x:c>
      <x:c r="E8" s="34" t="n">
        <x:v>28</x:v>
      </x:c>
      <x:c r="F8" s="34" t="n">
        <x:v>2</x:v>
      </x:c>
      <x:c r="G8" s="34" t="n">
        <x:f>E8-F8</x:f>
        <x:v>26</x:v>
      </x:c>
      <x:c r="H8" t="str">
        <x:v>each</x:v>
      </x:c>
      <x:c r="I8" s="35" t="n">
        <x:v>68</x:v>
      </x:c>
      <x:c r="J8" s="35" t="n">
        <x:v>980</x:v>
      </x:c>
      <x:c r="K8" t="str">
        <x:v>B1</x:v>
      </x:c>
      <x:c r="L8" t="str">
        <x:v>Pair with poles or subs</x:v>
      </x:c>
    </x:row>
    <x:row r="9">
      <x:c r="A9" t="str">
        <x:v>NC-AU-002</x:v>
      </x:c>
      <x:c r="B9" t="str">
        <x:v>Audio</x:v>
      </x:c>
      <x:c r="C9" t="str">
        <x:v>18-inch powered subwoofer</x:v>
      </x:c>
      <x:c r="D9" t="str">
        <x:v>Powered subwoofer</x:v>
      </x:c>
      <x:c r="E9" s="34" t="n">
        <x:v>16</x:v>
      </x:c>
      <x:c r="F9" s="34" t="n">
        <x:v>1</x:v>
      </x:c>
      <x:c r="G9" s="34" t="n">
        <x:f>E9-F9</x:f>
        <x:v>15</x:v>
      </x:c>
      <x:c r="H9" t="str">
        <x:v>each</x:v>
      </x:c>
      <x:c r="I9" s="35" t="n">
        <x:v>95</x:v>
      </x:c>
      <x:c r="J9" s="35" t="n">
        <x:v>1450</x:v>
      </x:c>
      <x:c r="K9" t="str">
        <x:v>B1</x:v>
      </x:c>
      <x:c r="L9" t="str">
        <x:v>Two cases show cabinet scuffs</x:v>
      </x:c>
    </x:row>
    <x:row r="10">
      <x:c r="A10" t="str">
        <x:v>NC-AU-003</x:v>
      </x:c>
      <x:c r="B10" t="str">
        <x:v>Audio</x:v>
      </x:c>
      <x:c r="C10" t="str">
        <x:v>DJ monitor pair</x:v>
      </x:c>
      <x:c r="D10" t="str">
        <x:v>Two compact powered monitors</x:v>
      </x:c>
      <x:c r="E10" s="34" t="n">
        <x:v>10</x:v>
      </x:c>
      <x:c r="F10" s="34" t="n">
        <x:v>0</x:v>
      </x:c>
      <x:c r="G10" s="34" t="n">
        <x:f>E10-F10</x:f>
        <x:v>10</x:v>
      </x:c>
      <x:c r="H10" t="str">
        <x:v>pair</x:v>
      </x:c>
      <x:c r="I10" s="35" t="n">
        <x:v>80</x:v>
      </x:c>
      <x:c r="J10" s="35" t="n">
        <x:v>1200</x:v>
      </x:c>
      <x:c r="K10" t="str">
        <x:v>B2</x:v>
      </x:c>
      <x:c r="L10" t="str"/>
    </x:row>
    <x:row r="11">
      <x:c r="A11" t="str">
        <x:v>NC-AU-004</x:v>
      </x:c>
      <x:c r="B11" t="str">
        <x:v>Audio</x:v>
      </x:c>
      <x:c r="C11" t="str">
        <x:v>DJ mixer, 4-channel</x:v>
      </x:c>
      <x:c r="D11" t="str">
        <x:v>Club-style performance mixer</x:v>
      </x:c>
      <x:c r="E11" s="34" t="n">
        <x:v>6</x:v>
      </x:c>
      <x:c r="F11" s="34" t="n">
        <x:v>1</x:v>
      </x:c>
      <x:c r="G11" s="34" t="n">
        <x:f>E11-F11</x:f>
        <x:v>5</x:v>
      </x:c>
      <x:c r="H11" t="str">
        <x:v>each</x:v>
      </x:c>
      <x:c r="I11" s="35" t="n">
        <x:v>145</x:v>
      </x:c>
      <x:c r="J11" s="35" t="n">
        <x:v>2450</x:v>
      </x:c>
      <x:c r="K11" t="str">
        <x:v>B2</x:v>
      </x:c>
      <x:c r="L11" t="str">
        <x:v>One crossfader is pending service</x:v>
      </x:c>
    </x:row>
    <x:row r="12">
      <x:c r="A12" t="str">
        <x:v>NC-AU-005</x:v>
      </x:c>
      <x:c r="B12" t="str">
        <x:v>Audio</x:v>
      </x:c>
      <x:c r="C12" t="str">
        <x:v>Wireless microphone kit</x:v>
      </x:c>
      <x:c r="D12" t="str">
        <x:v>Two handheld mics + receiver</x:v>
      </x:c>
      <x:c r="E12" s="34" t="n">
        <x:v>12</x:v>
      </x:c>
      <x:c r="F12" s="34" t="n">
        <x:v>1</x:v>
      </x:c>
      <x:c r="G12" s="34" t="n">
        <x:f>E12-F12</x:f>
        <x:v>11</x:v>
      </x:c>
      <x:c r="H12" t="str">
        <x:v>kit</x:v>
      </x:c>
      <x:c r="I12" s="35" t="n">
        <x:v>65</x:v>
      </x:c>
      <x:c r="J12" s="35" t="n">
        <x:v>680</x:v>
      </x:c>
      <x:c r="K12" t="str">
        <x:v>B2</x:v>
      </x:c>
      <x:c r="L12" t="str"/>
    </x:row>
    <x:row r="13">
      <x:c r="A13" t="str">
        <x:v>NC-LT-001</x:v>
      </x:c>
      <x:c r="B13" t="str">
        <x:v>Lighting</x:v>
      </x:c>
      <x:c r="C13" t="str">
        <x:v>LED wash fixture</x:v>
      </x:c>
      <x:c r="D13" t="str">
        <x:v>Battery-capable RGBW uplight</x:v>
      </x:c>
      <x:c r="E13" s="34" t="n">
        <x:v>72</x:v>
      </x:c>
      <x:c r="F13" s="34" t="n">
        <x:v>5</x:v>
      </x:c>
      <x:c r="G13" s="34" t="n">
        <x:f>E13-F13</x:f>
        <x:v>67</x:v>
      </x:c>
      <x:c r="H13" t="str">
        <x:v>each</x:v>
      </x:c>
      <x:c r="I13" s="35" t="n">
        <x:v>24</x:v>
      </x:c>
      <x:c r="J13" s="35" t="n">
        <x:v>315</x:v>
      </x:c>
      <x:c r="K13" t="str">
        <x:v>C1</x:v>
      </x:c>
      <x:c r="L13" t="str">
        <x:v>Chargers are stored separately</x:v>
      </x:c>
    </x:row>
    <x:row r="14">
      <x:c r="A14" t="str">
        <x:v>NC-LT-002</x:v>
      </x:c>
      <x:c r="B14" t="str">
        <x:v>Lighting</x:v>
      </x:c>
      <x:c r="C14" t="str">
        <x:v>Moving-head beam fixture</x:v>
      </x:c>
      <x:c r="D14" t="str">
        <x:v>Compact moving-head beam</x:v>
      </x:c>
      <x:c r="E14" s="34" t="n">
        <x:v>20</x:v>
      </x:c>
      <x:c r="F14" s="34" t="n">
        <x:v>2</x:v>
      </x:c>
      <x:c r="G14" s="34" t="n">
        <x:f>E14-F14</x:f>
        <x:v>18</x:v>
      </x:c>
      <x:c r="H14" t="str">
        <x:v>each</x:v>
      </x:c>
      <x:c r="I14" s="35" t="n">
        <x:v>95</x:v>
      </x:c>
      <x:c r="J14" s="35" t="n">
        <x:v>1350</x:v>
      </x:c>
      <x:c r="K14" t="str">
        <x:v>C1</x:v>
      </x:c>
      <x:c r="L14" t="str">
        <x:v>Two lenses have light scratching</x:v>
      </x:c>
    </x:row>
    <x:row r="15">
      <x:c r="A15" t="str">
        <x:v>NC-LT-003</x:v>
      </x:c>
      <x:c r="B15" t="str">
        <x:v>Lighting</x:v>
      </x:c>
      <x:c r="C15" t="str">
        <x:v>Haze machine</x:v>
      </x:c>
      <x:c r="D15" t="str">
        <x:v>Water-based haze machine</x:v>
      </x:c>
      <x:c r="E15" s="34" t="n">
        <x:v>8</x:v>
      </x:c>
      <x:c r="F15" s="34" t="n">
        <x:v>1</x:v>
      </x:c>
      <x:c r="G15" s="34" t="n">
        <x:f>E15-F15</x:f>
        <x:v>7</x:v>
      </x:c>
      <x:c r="H15" t="str">
        <x:v>each</x:v>
      </x:c>
      <x:c r="I15" s="35" t="n">
        <x:v>55</x:v>
      </x:c>
      <x:c r="J15" s="35" t="n">
        <x:v>690</x:v>
      </x:c>
      <x:c r="K15" t="str">
        <x:v>C2</x:v>
      </x:c>
      <x:c r="L15" t="str">
        <x:v>Fluid is billed separately</x:v>
      </x:c>
    </x:row>
    <x:row r="16">
      <x:c r="A16" t="str">
        <x:v>NC-VD-001</x:v>
      </x:c>
      <x:c r="B16" t="str">
        <x:v>Video</x:v>
      </x:c>
      <x:c r="C16" t="str">
        <x:v>LED video wall panel, 2.9mm</x:v>
      </x:c>
      <x:c r="D16" t="str">
        <x:v>500mm x 500mm indoor panel</x:v>
      </x:c>
      <x:c r="E16" s="34" t="n">
        <x:v>96</x:v>
      </x:c>
      <x:c r="F16" s="34" t="n">
        <x:v>6</x:v>
      </x:c>
      <x:c r="G16" s="34" t="n">
        <x:f>E16-F16</x:f>
        <x:v>90</x:v>
      </x:c>
      <x:c r="H16" t="str">
        <x:v>panel</x:v>
      </x:c>
      <x:c r="I16" s="35" t="n">
        <x:v>82</x:v>
      </x:c>
      <x:c r="J16" s="35" t="n">
        <x:v>1600</x:v>
      </x:c>
      <x:c r="K16" t="str">
        <x:v>D1</x:v>
      </x:c>
      <x:c r="L16" t="str">
        <x:v>Cabinets should be kept as matched batches</x:v>
      </x:c>
    </x:row>
    <x:row r="17">
      <x:c r="A17" t="str">
        <x:v>NC-VD-002</x:v>
      </x:c>
      <x:c r="B17" t="str">
        <x:v>Video</x:v>
      </x:c>
      <x:c r="C17" t="str">
        <x:v>Fast-fold projection screen, 12 ft</x:v>
      </x:c>
      <x:c r="D17" t="str">
        <x:v>Rear/front projection screen</x:v>
      </x:c>
      <x:c r="E17" s="34" t="n">
        <x:v>4</x:v>
      </x:c>
      <x:c r="F17" s="34" t="n">
        <x:v>0</x:v>
      </x:c>
      <x:c r="G17" s="34" t="n">
        <x:f>E17-F17</x:f>
        <x:v>4</x:v>
      </x:c>
      <x:c r="H17" t="str">
        <x:v>each</x:v>
      </x:c>
      <x:c r="I17" s="35" t="n">
        <x:v>120</x:v>
      </x:c>
      <x:c r="J17" s="35" t="n">
        <x:v>1350</x:v>
      </x:c>
      <x:c r="K17" t="str">
        <x:v>D2</x:v>
      </x:c>
      <x:c r="L17" t="str"/>
    </x:row>
    <x:row r="18">
      <x:c r="A18" t="str">
        <x:v>NC-ST-001</x:v>
      </x:c>
      <x:c r="B18" t="str">
        <x:v>Staging</x:v>
      </x:c>
      <x:c r="C18" t="str">
        <x:v>4 ft x 4 ft stage deck</x:v>
      </x:c>
      <x:c r="D18" t="str">
        <x:v>Modular low-profile deck</x:v>
      </x:c>
      <x:c r="E18" s="34" t="n">
        <x:v>48</x:v>
      </x:c>
      <x:c r="F18" s="34" t="n">
        <x:v>3</x:v>
      </x:c>
      <x:c r="G18" s="34" t="n">
        <x:f>E18-F18</x:f>
        <x:v>45</x:v>
      </x:c>
      <x:c r="H18" t="str">
        <x:v>deck</x:v>
      </x:c>
      <x:c r="I18" s="35" t="n">
        <x:v>34</x:v>
      </x:c>
      <x:c r="J18" s="35" t="n">
        <x:v>390</x:v>
      </x:c>
      <x:c r="K18" t="str">
        <x:v>E1</x:v>
      </x:c>
      <x:c r="L18" t="str">
        <x:v>Three decks have worn legs</x:v>
      </x:c>
    </x:row>
    <x:row r="19">
      <x:c r="A19" t="str">
        <x:v>NC-ST-002</x:v>
      </x:c>
      <x:c r="B19" t="str">
        <x:v>Staging</x:v>
      </x:c>
      <x:c r="C19" t="str">
        <x:v>Adjustable stage leg set</x:v>
      </x:c>
      <x:c r="D19" t="str">
        <x:v>24–32 inch leg set</x:v>
      </x:c>
      <x:c r="E19" s="34" t="n">
        <x:v>64</x:v>
      </x:c>
      <x:c r="F19" s="34" t="n">
        <x:v>0</x:v>
      </x:c>
      <x:c r="G19" s="34" t="n">
        <x:f>E19-F19</x:f>
        <x:v>64</x:v>
      </x:c>
      <x:c r="H19" t="str">
        <x:v>set</x:v>
      </x:c>
      <x:c r="I19" s="35" t="n">
        <x:v>9</x:v>
      </x:c>
      <x:c r="J19" s="35" t="n">
        <x:v>86</x:v>
      </x:c>
      <x:c r="K19" t="str">
        <x:v>E1</x:v>
      </x:c>
      <x:c r="L19" t="str">
        <x:v>Count separately from decks</x:v>
      </x:c>
    </x:row>
    <x:row r="20">
      <x:c r="A20" t="str">
        <x:v>NC-ST-003</x:v>
      </x:c>
      <x:c r="B20" t="str">
        <x:v>Staging</x:v>
      </x:c>
      <x:c r="C20" t="str">
        <x:v>DJ facade, LED front</x:v>
      </x:c>
      <x:c r="D20" t="str">
        <x:v>Four-panel glowing facade</x:v>
      </x:c>
      <x:c r="E20" s="34" t="n">
        <x:v>6</x:v>
      </x:c>
      <x:c r="F20" s="34" t="n">
        <x:v>1</x:v>
      </x:c>
      <x:c r="G20" s="34" t="n">
        <x:f>E20-F20</x:f>
        <x:v>5</x:v>
      </x:c>
      <x:c r="H20" t="str">
        <x:v>each</x:v>
      </x:c>
      <x:c r="I20" s="35" t="n">
        <x:v>95</x:v>
      </x:c>
      <x:c r="J20" s="35" t="n">
        <x:v>980</x:v>
      </x:c>
      <x:c r="K20" t="str">
        <x:v>E2</x:v>
      </x:c>
      <x:c r="L20" t="str"/>
    </x:row>
    <x:row r="21">
      <x:c r="A21" t="str">
        <x:v>NC-FX-001</x:v>
      </x:c>
      <x:c r="B21" t="str">
        <x:v>Festival Experience</x:v>
      </x:c>
      <x:c r="C21" t="str">
        <x:v>LED cube / side table</x:v>
      </x:c>
      <x:c r="D21" t="str">
        <x:v>Rechargeable illuminated furniture cube</x:v>
      </x:c>
      <x:c r="E21" s="34" t="n">
        <x:v>40</x:v>
      </x:c>
      <x:c r="F21" s="34" t="n">
        <x:v>4</x:v>
      </x:c>
      <x:c r="G21" s="34" t="n">
        <x:f>E21-F21</x:f>
        <x:v>36</x:v>
      </x:c>
      <x:c r="H21" t="str">
        <x:v>each</x:v>
      </x:c>
      <x:c r="I21" s="35" t="n">
        <x:v>22</x:v>
      </x:c>
      <x:c r="J21" s="35" t="n">
        <x:v>210</x:v>
      </x:c>
      <x:c r="K21" t="str">
        <x:v>F1</x:v>
      </x:c>
      <x:c r="L21" t="str">
        <x:v>Mixed battery condition</x:v>
      </x:c>
    </x:row>
    <x:row r="22">
      <x:c r="A22" t="str">
        <x:v>NC-FX-002</x:v>
      </x:c>
      <x:c r="B22" t="str">
        <x:v>Festival Experience</x:v>
      </x:c>
      <x:c r="C22" t="str">
        <x:v>Macramé hammock set</x:v>
      </x:c>
      <x:c r="D22" t="str">
        <x:v>Hammock, straps, and protective mat</x:v>
      </x:c>
      <x:c r="E22" s="34" t="n">
        <x:v>24</x:v>
      </x:c>
      <x:c r="F22" s="34" t="n">
        <x:v>2</x:v>
      </x:c>
      <x:c r="G22" s="34" t="n">
        <x:f>E22-F22</x:f>
        <x:v>22</x:v>
      </x:c>
      <x:c r="H22" t="str">
        <x:v>set</x:v>
      </x:c>
      <x:c r="I22" s="35" t="n">
        <x:v>28</x:v>
      </x:c>
      <x:c r="J22" s="35" t="n">
        <x:v>260</x:v>
      </x:c>
      <x:c r="K22" t="str">
        <x:v>F1</x:v>
      </x:c>
      <x:c r="L22" t="str">
        <x:v>Do not deploy without approved anchor point</x:v>
      </x:c>
    </x:row>
    <x:row r="23">
      <x:c r="A23" t="str">
        <x:v>NC-FX-003</x:v>
      </x:c>
      <x:c r="B23" t="str">
        <x:v>Festival Experience</x:v>
      </x:c>
      <x:c r="C23" t="str">
        <x:v>Inflatable art mushroom</x:v>
      </x:c>
      <x:c r="D23" t="str">
        <x:v>8-ft internally lit inflatable sculpture</x:v>
      </x:c>
      <x:c r="E23" s="34" t="n">
        <x:v>6</x:v>
      </x:c>
      <x:c r="F23" s="34" t="n">
        <x:v>1</x:v>
      </x:c>
      <x:c r="G23" s="34" t="n">
        <x:f>E23-F23</x:f>
        <x:v>5</x:v>
      </x:c>
      <x:c r="H23" t="str">
        <x:v>each</x:v>
      </x:c>
      <x:c r="I23" s="35" t="n">
        <x:v>180</x:v>
      </x:c>
      <x:c r="J23" s="35" t="n">
        <x:v>2600</x:v>
      </x:c>
      <x:c r="K23" t="str">
        <x:v>F2</x:v>
      </x:c>
      <x:c r="L23" t="str">
        <x:v>One patch kit used in July</x:v>
      </x:c>
    </x:row>
    <x:row r="24">
      <x:c r="A24" t="str">
        <x:v>NC-OP-001</x:v>
      </x:c>
      <x:c r="B24" t="str">
        <x:v>Operations</x:v>
      </x:c>
      <x:c r="C24" t="str">
        <x:v>Water refill station</x:v>
      </x:c>
      <x:c r="D24" t="str">
        <x:v>Two-spigot portable water refill unit</x:v>
      </x:c>
      <x:c r="E24" s="34" t="n">
        <x:v>4</x:v>
      </x:c>
      <x:c r="F24" s="34" t="n">
        <x:v>1</x:v>
      </x:c>
      <x:c r="G24" s="34" t="n">
        <x:f>E24-F24</x:f>
        <x:v>3</x:v>
      </x:c>
      <x:c r="H24" t="str">
        <x:v>each</x:v>
      </x:c>
      <x:c r="I24" s="35" t="n">
        <x:v>220</x:v>
      </x:c>
      <x:c r="J24" s="35" t="n">
        <x:v>3400</x:v>
      </x:c>
      <x:c r="K24" t="str">
        <x:v>G1</x:v>
      </x:c>
      <x:c r="L24" t="str">
        <x:v>Requires third-party potable water connection</x:v>
      </x:c>
    </x:row>
    <x:row r="25">
      <x:c r="A25" t="str">
        <x:v>NC-OP-002</x:v>
      </x:c>
      <x:c r="B25" t="str">
        <x:v>Operations</x:v>
      </x:c>
      <x:c r="C25" t="str">
        <x:v>Portable concession counter</x:v>
      </x:c>
      <x:c r="D25" t="str">
        <x:v>Modular 8-ft counter with canopy</x:v>
      </x:c>
      <x:c r="E25" s="34" t="n">
        <x:v>8</x:v>
      </x:c>
      <x:c r="F25" s="34" t="n">
        <x:v>0</x:v>
      </x:c>
      <x:c r="G25" s="34" t="n">
        <x:f>E25-F25</x:f>
        <x:v>8</x:v>
      </x:c>
      <x:c r="H25" t="str">
        <x:v>each</x:v>
      </x:c>
      <x:c r="I25" s="35" t="n">
        <x:v>110</x:v>
      </x:c>
      <x:c r="J25" s="35" t="n">
        <x:v>980</x:v>
      </x:c>
      <x:c r="K25" t="str">
        <x:v>G2</x:v>
      </x:c>
      <x:c r="L25" t="str"/>
    </x:row>
    <x:row r="26">
      <x:c r="A26" t="str">
        <x:v>NC-OP-003</x:v>
      </x:c>
      <x:c r="B26" t="str">
        <x:v>Operations</x:v>
      </x:c>
      <x:c r="C26" t="str">
        <x:v>Steel crowd-control barricade</x:v>
      </x:c>
      <x:c r="D26" t="str">
        <x:v>Interlocking steel barricade</x:v>
      </x:c>
      <x:c r="E26" s="34" t="n">
        <x:v>160</x:v>
      </x:c>
      <x:c r="F26" s="34" t="n">
        <x:v>12</x:v>
      </x:c>
      <x:c r="G26" s="34" t="n">
        <x:f>E26-F26</x:f>
        <x:v>148</x:v>
      </x:c>
      <x:c r="H26" t="str">
        <x:v>each</x:v>
      </x:c>
      <x:c r="I26" s="35" t="n">
        <x:v>6</x:v>
      </x:c>
      <x:c r="J26" s="35" t="n">
        <x:v>105</x:v>
      </x:c>
      <x:c r="K26" t="str">
        <x:v>G3</x:v>
      </x:c>
      <x:c r="L26" t="str">
        <x:v>Bent feet are common</x:v>
      </x:c>
    </x:row>
    <x:row r="27">
      <x:c r="A27" t="str">
        <x:v>NC-OP-004</x:v>
      </x:c>
      <x:c r="B27" t="str">
        <x:v>Operations</x:v>
      </x:c>
      <x:c r="C27" t="str">
        <x:v>Cable ramp, 5-channel</x:v>
      </x:c>
      <x:c r="D27" t="str">
        <x:v>Heavy-duty pedestrian/vehicle cable ramp</x:v>
      </x:c>
      <x:c r="E27" s="34" t="n">
        <x:v>60</x:v>
      </x:c>
      <x:c r="F27" s="34" t="n">
        <x:v>3</x:v>
      </x:c>
      <x:c r="G27" s="34" t="n">
        <x:f>E27-F27</x:f>
        <x:v>57</x:v>
      </x:c>
      <x:c r="H27" t="str">
        <x:v>each</x:v>
      </x:c>
      <x:c r="I27" s="35" t="n">
        <x:v>14</x:v>
      </x:c>
      <x:c r="J27" s="35" t="n">
        <x:v>185</x:v>
      </x:c>
      <x:c r="K27" t="str">
        <x:v>G3</x:v>
      </x:c>
      <x:c r="L27" t="str"/>
    </x:row>
    <x:row r="28">
      <x:c r="A28" t="str">
        <x:v>NC-OP-005</x:v>
      </x:c>
      <x:c r="B28" t="str">
        <x:v>Operations</x:v>
      </x:c>
      <x:c r="C28" t="str">
        <x:v>Two-way radio kit</x:v>
      </x:c>
      <x:c r="D28" t="str">
        <x:v>6 radios, chargers, and earpieces</x:v>
      </x:c>
      <x:c r="E28" s="34" t="n">
        <x:v>10</x:v>
      </x:c>
      <x:c r="F28" s="34" t="n">
        <x:v>1</x:v>
      </x:c>
      <x:c r="G28" s="34" t="n">
        <x:f>E28-F28</x:f>
        <x:v>9</x:v>
      </x:c>
      <x:c r="H28" t="str">
        <x:v>kit</x:v>
      </x:c>
      <x:c r="I28" s="35" t="n">
        <x:v>72</x:v>
      </x:c>
      <x:c r="J28" s="35" t="n">
        <x:v>760</x:v>
      </x:c>
      <x:c r="K28" t="str">
        <x:v>H1</x:v>
      </x:c>
      <x:c r="L28" t="str">
        <x:v>One kit missing two earpieces</x:v>
      </x:c>
    </x:row>
  </x:sheetData>
  <x:mergeCells>
    <x:mergeCell ref="A1:L1"/>
    <x:mergeCell ref="A2:L2"/>
  </x:mergeCells>
  <x:conditionalFormatting sqref="G5:G28">
    <x:cfRule type="cellIs" dxfId="0" priority="1" operator="lessThan">
      <x:formula>10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5bc2290a8244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20" hidden="0" customWidth="1"/>
    <x:col min="4" max="4" width="18" hidden="0" customWidth="1"/>
    <x:col min="5" max="5" width="34" hidden="0" customWidth="1"/>
    <x:col min="6" max="6" width="16" hidden="0" customWidth="1"/>
    <x:col min="7" max="7" width="18" hidden="0" customWidth="1"/>
    <x:col min="8" max="8" width="9" hidden="0" customWidth="1"/>
    <x:col min="9" max="9" width="14" hidden="0" customWidth="1"/>
    <x:col min="10" max="10" width="38" hidden="0" customWidth="1"/>
  </x:cols>
  <x:sheetData>
    <x:row r="1" ht="28" customHeight="1">
      <x:c r="A1" s="4" t="str">
        <x:v>Customer Directory</x:v>
      </x:c>
    </x:row>
    <x:row r="2" ht="24" customHeight="1">
      <x:c r="A2" s="7" t="str">
        <x:v>Sales keeps customer records here; most new leads are entered after the initial booking request.</x:v>
      </x:c>
    </x:row>
    <x:row r="4">
      <x:c r="A4" s="28" t="str">
        <x:v>Customer ID</x:v>
      </x:c>
      <x:c r="B4" s="33" t="str">
        <x:v>Company / Client</x:v>
      </x:c>
      <x:c r="C4" s="33" t="str">
        <x:v>Customer Type</x:v>
      </x:c>
      <x:c r="D4" s="33" t="str">
        <x:v>Primary Contact</x:v>
      </x:c>
      <x:c r="E4" s="33" t="str">
        <x:v>Email</x:v>
      </x:c>
      <x:c r="F4" s="33" t="str">
        <x:v>Phone</x:v>
      </x:c>
      <x:c r="G4" s="33" t="str">
        <x:v>Billing City</x:v>
      </x:c>
      <x:c r="H4" s="33" t="str">
        <x:v>State</x:v>
      </x:c>
      <x:c r="I4" s="33" t="str">
        <x:v>Payment Terms</x:v>
      </x:c>
      <x:c r="J4" s="29" t="str">
        <x:v>Notes</x:v>
      </x:c>
    </x:row>
    <x:row r="5">
      <x:c r="A5" t="str">
        <x:v>C-1001</x:v>
      </x:c>
      <x:c r="B5" t="str">
        <x:v>Pulse Junction Events</x:v>
      </x:c>
      <x:c r="C5" t="str">
        <x:v>Production Company</x:v>
      </x:c>
      <x:c r="D5" t="str">
        <x:v>Mara Lin</x:v>
      </x:c>
      <x:c r="E5" t="str">
        <x:v>mara@pulsejunction.example</x:v>
      </x:c>
      <x:c r="F5" t="str">
        <x:v>(555) 010-1842</x:v>
      </x:c>
      <x:c r="G5" t="str">
        <x:v>Brooklyn</x:v>
      </x:c>
      <x:c r="H5" t="str">
        <x:v>NY</x:v>
      </x:c>
      <x:c r="I5" t="str">
        <x:v>Net 15</x:v>
      </x:c>
      <x:c r="J5" t="str">
        <x:v>Repeat promoter; requests soft holds by text</x:v>
      </x:c>
    </x:row>
    <x:row r="6">
      <x:c r="A6" t="str">
        <x:v>C-1002</x:v>
      </x:c>
      <x:c r="B6" t="str">
        <x:v>Kestrel Afterdark</x:v>
      </x:c>
      <x:c r="C6" t="str">
        <x:v>Promoter</x:v>
      </x:c>
      <x:c r="D6" t="str">
        <x:v>Dante Reyes</x:v>
      </x:c>
      <x:c r="E6" t="str">
        <x:v>dante@kestrelafterdark.example</x:v>
      </x:c>
      <x:c r="F6" t="str">
        <x:v>(555) 010-2206</x:v>
      </x:c>
      <x:c r="G6" t="str">
        <x:v>Queens</x:v>
      </x:c>
      <x:c r="H6" t="str">
        <x:v>NY</x:v>
      </x:c>
      <x:c r="I6" t="str">
        <x:v>Due on Receipt</x:v>
      </x:c>
      <x:c r="J6" t="str">
        <x:v>Frequently adds lighting late</x:v>
      </x:c>
    </x:row>
    <x:row r="7">
      <x:c r="A7" t="str">
        <x:v>C-1003</x:v>
      </x:c>
      <x:c r="B7" t="str">
        <x:v>The Orbit Room</x:v>
      </x:c>
      <x:c r="C7" t="str">
        <x:v>Venue</x:v>
      </x:c>
      <x:c r="D7" t="str">
        <x:v>Avery Knox</x:v>
      </x:c>
      <x:c r="E7" t="str">
        <x:v>avery@orbitroom.example</x:v>
      </x:c>
      <x:c r="F7" t="str">
        <x:v>(555) 010-3381</x:v>
      </x:c>
      <x:c r="G7" t="str">
        <x:v>Philadelphia</x:v>
      </x:c>
      <x:c r="H7" t="str">
        <x:v>PA</x:v>
      </x:c>
      <x:c r="I7" t="str">
        <x:v>Net 30</x:v>
      </x:c>
      <x:c r="J7" t="str">
        <x:v>Club account; dock access after 3 PM</x:v>
      </x:c>
    </x:row>
    <x:row r="8">
      <x:c r="A8" t="str">
        <x:v>C-1004</x:v>
      </x:c>
      <x:c r="B8" t="str">
        <x:v>Neon Vale Collective</x:v>
      </x:c>
      <x:c r="C8" t="str">
        <x:v>DJ / Artist</x:v>
      </x:c>
      <x:c r="D8" t="str">
        <x:v>Riley Stone</x:v>
      </x:c>
      <x:c r="E8" t="str">
        <x:v>riley@neonvale.example</x:v>
      </x:c>
      <x:c r="F8" t="str">
        <x:v>(555) 010-2941</x:v>
      </x:c>
      <x:c r="G8" t="str">
        <x:v>New York</x:v>
      </x:c>
      <x:c r="H8" t="str">
        <x:v>NY</x:v>
      </x:c>
      <x:c r="I8" t="str">
        <x:v>Due on Receipt</x:v>
      </x:c>
      <x:c r="J8" t="str"/>
    </x:row>
    <x:row r="9">
      <x:c r="A9" t="str">
        <x:v>C-1005</x:v>
      </x:c>
      <x:c r="B9" t="str">
        <x:v>Lumen Lot Productions</x:v>
      </x:c>
      <x:c r="C9" t="str">
        <x:v>Production Company</x:v>
      </x:c>
      <x:c r="D9" t="str">
        <x:v>Sasha Wu</x:v>
      </x:c>
      <x:c r="E9" t="str">
        <x:v>sasha@lumenlot.example</x:v>
      </x:c>
      <x:c r="F9" t="str">
        <x:v>(555) 010-4029</x:v>
      </x:c>
      <x:c r="G9" t="str">
        <x:v>Jersey City</x:v>
      </x:c>
      <x:c r="H9" t="str">
        <x:v>NJ</x:v>
      </x:c>
      <x:c r="I9" t="str">
        <x:v>Net 15</x:v>
      </x:c>
      <x:c r="J9" t="str">
        <x:v>Festival client; insurance COI required</x:v>
      </x:c>
    </x:row>
    <x:row r="10">
      <x:c r="A10" t="str">
        <x:v>C-1006</x:v>
      </x:c>
      <x:c r="B10" t="str">
        <x:v>Arcfield Arts</x:v>
      </x:c>
      <x:c r="C10" t="str">
        <x:v>Nonprofit / Arts</x:v>
      </x:c>
      <x:c r="D10" t="str">
        <x:v>June Park</x:v>
      </x:c>
      <x:c r="E10" t="str">
        <x:v>june@arcfieldarts.example</x:v>
      </x:c>
      <x:c r="F10" t="str">
        <x:v>(555) 010-5530</x:v>
      </x:c>
      <x:c r="G10" t="str">
        <x:v>Baltimore</x:v>
      </x:c>
      <x:c r="H10" t="str">
        <x:v>MD</x:v>
      </x:c>
      <x:c r="I10" t="str">
        <x:v>Net 30</x:v>
      </x:c>
      <x:c r="J10" t="str"/>
    </x:row>
    <x:row r="11">
      <x:c r="A11" t="str">
        <x:v>C-1007</x:v>
      </x:c>
      <x:c r="B11" t="str">
        <x:v>Submerge Social Club</x:v>
      </x:c>
      <x:c r="C11" t="str">
        <x:v>Venue</x:v>
      </x:c>
      <x:c r="D11" t="str">
        <x:v>Owen Hale</x:v>
      </x:c>
      <x:c r="E11" t="str">
        <x:v>owen@submergesocial.example</x:v>
      </x:c>
      <x:c r="F11" t="str">
        <x:v>(555) 010-6255</x:v>
      </x:c>
      <x:c r="G11" t="str">
        <x:v>Washington</x:v>
      </x:c>
      <x:c r="H11" t="str">
        <x:v>DC</x:v>
      </x:c>
      <x:c r="I11" t="str">
        <x:v>Net 15</x:v>
      </x:c>
      <x:c r="J11" t="str">
        <x:v>Basement load-in, stairs</x:v>
      </x:c>
    </x:row>
    <x:row r="12">
      <x:c r="A12" t="str">
        <x:v>C-1008</x:v>
      </x:c>
      <x:c r="B12" t="str">
        <x:v>Mosaic House</x:v>
      </x:c>
      <x:c r="C12" t="str">
        <x:v>Venue</x:v>
      </x:c>
      <x:c r="D12" t="str">
        <x:v>Imani Cole</x:v>
      </x:c>
      <x:c r="E12" t="str">
        <x:v>imani@mosaichouse.example</x:v>
      </x:c>
      <x:c r="F12" t="str">
        <x:v>(555) 010-7771</x:v>
      </x:c>
      <x:c r="G12" t="str">
        <x:v>Newark</x:v>
      </x:c>
      <x:c r="H12" t="str">
        <x:v>NJ</x:v>
      </x:c>
      <x:c r="I12" t="str">
        <x:v>Due on Receipt</x:v>
      </x:c>
      <x:c r="J12" t="str">
        <x:v>Weekend party series</x:v>
      </x:c>
    </x:row>
    <x:row r="13">
      <x:c r="A13" t="str">
        <x:v>C-1009</x:v>
      </x:c>
      <x:c r="B13" t="str">
        <x:v>Dawn Circuit</x:v>
      </x:c>
      <x:c r="C13" t="str">
        <x:v>Promoter</x:v>
      </x:c>
      <x:c r="D13" t="str">
        <x:v>Tessa Ford</x:v>
      </x:c>
      <x:c r="E13" t="str">
        <x:v>tessa@dawncircuit.example</x:v>
      </x:c>
      <x:c r="F13" t="str">
        <x:v>(555) 010-8182</x:v>
      </x:c>
      <x:c r="G13" t="str">
        <x:v>Boston</x:v>
      </x:c>
      <x:c r="H13" t="str">
        <x:v>MA</x:v>
      </x:c>
      <x:c r="I13" t="str">
        <x:v>Net 15</x:v>
      </x:c>
      <x:c r="J13" t="str"/>
    </x:row>
    <x:row r="14">
      <x:c r="A14" t="str">
        <x:v>C-1010</x:v>
      </x:c>
      <x:c r="B14" t="str">
        <x:v>Raincheck Raves</x:v>
      </x:c>
      <x:c r="C14" t="str">
        <x:v>Production Company</x:v>
      </x:c>
      <x:c r="D14" t="str">
        <x:v>Noel Park</x:v>
      </x:c>
      <x:c r="E14" t="str">
        <x:v>noel@raincheckraves.example</x:v>
      </x:c>
      <x:c r="F14" t="str">
        <x:v>(555) 010-9016</x:v>
      </x:c>
      <x:c r="G14" t="str">
        <x:v>Asbury Park</x:v>
      </x:c>
      <x:c r="H14" t="str">
        <x:v>NJ</x:v>
      </x:c>
      <x:c r="I14" t="str">
        <x:v>Net 15</x:v>
      </x:c>
      <x:c r="J14" t="str">
        <x:v>Outdoor work; weather contingencies</x:v>
      </x:c>
    </x:row>
    <x:row r="15">
      <x:c r="A15" t="str">
        <x:v>C-1011</x:v>
      </x:c>
      <x:c r="B15" t="str">
        <x:v>BPM Society at Northside</x:v>
      </x:c>
      <x:c r="C15" t="str">
        <x:v>University Org</x:v>
      </x:c>
      <x:c r="D15" t="str">
        <x:v>Chris Vale</x:v>
      </x:c>
      <x:c r="E15" t="str">
        <x:v>chris@bpmsociety.example</x:v>
      </x:c>
      <x:c r="F15" t="str">
        <x:v>(555) 010-1128</x:v>
      </x:c>
      <x:c r="G15" t="str">
        <x:v>New Haven</x:v>
      </x:c>
      <x:c r="H15" t="str">
        <x:v>CT</x:v>
      </x:c>
      <x:c r="I15" t="str">
        <x:v>Net 30</x:v>
      </x:c>
      <x:c r="J15" t="str">
        <x:v>Student organization; PO needed</x:v>
      </x:c>
    </x:row>
    <x:row r="16">
      <x:c r="A16" t="str">
        <x:v>C-1012</x:v>
      </x:c>
      <x:c r="B16" t="str">
        <x:v>Static Bloom</x:v>
      </x:c>
      <x:c r="C16" t="str">
        <x:v>DJ / Artist</x:v>
      </x:c>
      <x:c r="D16" t="str">
        <x:v>Mika Sol</x:v>
      </x:c>
      <x:c r="E16" t="str">
        <x:v>mika@staticbloom.example</x:v>
      </x:c>
      <x:c r="F16" t="str">
        <x:v>(555) 010-2309</x:v>
      </x:c>
      <x:c r="G16" t="str">
        <x:v>Philadelphia</x:v>
      </x:c>
      <x:c r="H16" t="str">
        <x:v>PA</x:v>
      </x:c>
      <x:c r="I16" t="str">
        <x:v>Due on Receipt</x:v>
      </x:c>
      <x:c r="J16" t="str"/>
    </x:row>
    <x:row r="17">
      <x:c r="A17" t="str">
        <x:v>C-1013</x:v>
      </x:c>
      <x:c r="B17" t="str">
        <x:v>Signal Garden</x:v>
      </x:c>
      <x:c r="C17" t="str">
        <x:v>Production Company</x:v>
      </x:c>
      <x:c r="D17" t="str">
        <x:v>Eva Merritt</x:v>
      </x:c>
      <x:c r="E17" t="str">
        <x:v>eva@signalgarden.example</x:v>
      </x:c>
      <x:c r="F17" t="str">
        <x:v>(555) 010-4510</x:v>
      </x:c>
      <x:c r="G17" t="str">
        <x:v>Hudson</x:v>
      </x:c>
      <x:c r="H17" t="str">
        <x:v>NY</x:v>
      </x:c>
      <x:c r="I17" t="str">
        <x:v>Net 15</x:v>
      </x:c>
      <x:c r="J17" t="str"/>
    </x:row>
    <x:row r="18">
      <x:c r="A18" t="str">
        <x:v>C-1014</x:v>
      </x:c>
      <x:c r="B18" t="str">
        <x:v>Velvet Rail</x:v>
      </x:c>
      <x:c r="C18" t="str">
        <x:v>Venue</x:v>
      </x:c>
      <x:c r="D18" t="str">
        <x:v>Jordan Bell</x:v>
      </x:c>
      <x:c r="E18" t="str">
        <x:v>jordan@velvetrail.example</x:v>
      </x:c>
      <x:c r="F18" t="str">
        <x:v>(555) 010-5902</x:v>
      </x:c>
      <x:c r="G18" t="str">
        <x:v>Brooklyn</x:v>
      </x:c>
      <x:c r="H18" t="str">
        <x:v>NY</x:v>
      </x:c>
      <x:c r="I18" t="str">
        <x:v>Net 30</x:v>
      </x:c>
      <x:c r="J18" t="str"/>
    </x:row>
    <x:row r="19">
      <x:c r="A19" t="str">
        <x:v>C-1015</x:v>
      </x:c>
      <x:c r="B19" t="str">
        <x:v>Night Orchard</x:v>
      </x:c>
      <x:c r="C19" t="str">
        <x:v>Promoter</x:v>
      </x:c>
      <x:c r="D19" t="str">
        <x:v>Cam Lee</x:v>
      </x:c>
      <x:c r="E19" t="str">
        <x:v>cam@nightorchard.example</x:v>
      </x:c>
      <x:c r="F19" t="str">
        <x:v>(555) 010-6104</x:v>
      </x:c>
      <x:c r="G19" t="str">
        <x:v>Providence</x:v>
      </x:c>
      <x:c r="H19" t="str">
        <x:v>RI</x:v>
      </x:c>
      <x:c r="I19" t="str">
        <x:v>Due on Receipt</x:v>
      </x:c>
      <x:c r="J19" t="str"/>
    </x:row>
    <x:row r="20">
      <x:c r="A20" t="str">
        <x:v>C-1016</x:v>
      </x:c>
      <x:c r="B20" t="str">
        <x:v>Half-Step Media</x:v>
      </x:c>
      <x:c r="C20" t="str">
        <x:v>Production Company</x:v>
      </x:c>
      <x:c r="D20" t="str">
        <x:v>Morgan Ives</x:v>
      </x:c>
      <x:c r="E20" t="str">
        <x:v>morgan@halfstepmedia.example</x:v>
      </x:c>
      <x:c r="F20" t="str">
        <x:v>(555) 010-7231</x:v>
      </x:c>
      <x:c r="G20" t="str">
        <x:v>New York</x:v>
      </x:c>
      <x:c r="H20" t="str">
        <x:v>NY</x:v>
      </x:c>
      <x:c r="I20" t="str">
        <x:v>Net 15</x:v>
      </x:c>
      <x:c r="J20" t="str"/>
    </x:row>
    <x:row r="21">
      <x:c r="A21" t="str">
        <x:v>C-1017</x:v>
      </x:c>
      <x:c r="B21" t="str">
        <x:v>East River Arts Week</x:v>
      </x:c>
      <x:c r="C21" t="str">
        <x:v>Nonprofit / Arts</x:v>
      </x:c>
      <x:c r="D21" t="str">
        <x:v>Alex Rowan</x:v>
      </x:c>
      <x:c r="E21" t="str">
        <x:v>alex@erartsweek.example</x:v>
      </x:c>
      <x:c r="F21" t="str">
        <x:v>(555) 010-8645</x:v>
      </x:c>
      <x:c r="G21" t="str">
        <x:v>New York</x:v>
      </x:c>
      <x:c r="H21" t="str">
        <x:v>NY</x:v>
      </x:c>
      <x:c r="I21" t="str">
        <x:v>Net 30</x:v>
      </x:c>
      <x:c r="J21" t="str">
        <x:v>City permit paperwork can be slow</x:v>
      </x:c>
    </x:row>
    <x:row r="22">
      <x:c r="A22" t="str">
        <x:v>C-1018</x:v>
      </x:c>
      <x:c r="B22" t="str">
        <x:v>Bassline Assembly</x:v>
      </x:c>
      <x:c r="C22" t="str">
        <x:v>Promoter</x:v>
      </x:c>
      <x:c r="D22" t="str">
        <x:v>Rae Kim</x:v>
      </x:c>
      <x:c r="E22" t="str">
        <x:v>rae@basslineassembly.example</x:v>
      </x:c>
      <x:c r="F22" t="str">
        <x:v>(555) 010-9377</x:v>
      </x:c>
      <x:c r="G22" t="str">
        <x:v>Hoboken</x:v>
      </x:c>
      <x:c r="H22" t="str">
        <x:v>NJ</x:v>
      </x:c>
      <x:c r="I22" t="str">
        <x:v>Due on Receipt</x:v>
      </x:c>
      <x:c r="J22" t="str"/>
    </x:row>
    <x:row r="23">
      <x:c r="A23" t="str">
        <x:v>C-1019</x:v>
      </x:c>
      <x:c r="B23" t="str">
        <x:v>Cosmic Local 9</x:v>
      </x:c>
      <x:c r="C23" t="str">
        <x:v>Venue</x:v>
      </x:c>
      <x:c r="D23" t="str">
        <x:v>Sam Ortiz</x:v>
      </x:c>
      <x:c r="E23" t="str">
        <x:v>sam@cosmiclocal9.example</x:v>
      </x:c>
      <x:c r="F23" t="str">
        <x:v>(555) 010-1054</x:v>
      </x:c>
      <x:c r="G23" t="str">
        <x:v>Bronx</x:v>
      </x:c>
      <x:c r="H23" t="str">
        <x:v>NY</x:v>
      </x:c>
      <x:c r="I23" t="str">
        <x:v>Net 15</x:v>
      </x:c>
      <x:c r="J23" t="str"/>
    </x:row>
    <x:row r="24">
      <x:c r="A24" t="str">
        <x:v>C-1020</x:v>
      </x:c>
      <x:c r="B24" t="str">
        <x:v>Afterimage Partners</x:v>
      </x:c>
      <x:c r="C24" t="str">
        <x:v>Agency</x:v>
      </x:c>
      <x:c r="D24" t="str">
        <x:v>Priya Shah</x:v>
      </x:c>
      <x:c r="E24" t="str">
        <x:v>priya@afterimagepartners.example</x:v>
      </x:c>
      <x:c r="F24" t="str">
        <x:v>(555) 010-2480</x:v>
      </x:c>
      <x:c r="G24" t="str">
        <x:v>New York</x:v>
      </x:c>
      <x:c r="H24" t="str">
        <x:v>NY</x:v>
      </x:c>
      <x:c r="I24" t="str">
        <x:v>Net 30</x:v>
      </x:c>
      <x:c r="J24" t="str">
        <x:v>Corporate client; higher paperwork burden</x:v>
      </x:c>
    </x:row>
    <x:row r="25">
      <x:c r="A25" t="str">
        <x:v>C-1021</x:v>
      </x:c>
      <x:c r="B25" t="str">
        <x:v>Blue Hour Picnic</x:v>
      </x:c>
      <x:c r="C25" t="str">
        <x:v>Promoter</x:v>
      </x:c>
      <x:c r="D25" t="str">
        <x:v>Lena Moss</x:v>
      </x:c>
      <x:c r="E25" t="str">
        <x:v>lena@bluehourpicnic.example</x:v>
      </x:c>
      <x:c r="F25" t="str">
        <x:v>(555) 010-3752</x:v>
      </x:c>
      <x:c r="G25" t="str">
        <x:v>Beacon</x:v>
      </x:c>
      <x:c r="H25" t="str">
        <x:v>NY</x:v>
      </x:c>
      <x:c r="I25" t="str">
        <x:v>Due on Receipt</x:v>
      </x:c>
      <x:c r="J25" t="str"/>
    </x:row>
    <x:row r="26">
      <x:c r="A26" t="str">
        <x:v>C-1022</x:v>
      </x:c>
      <x:c r="B26" t="str">
        <x:v>Rooftop Frequency</x:v>
      </x:c>
      <x:c r="C26" t="str">
        <x:v>Venue</x:v>
      </x:c>
      <x:c r="D26" t="str">
        <x:v>Nico Grant</x:v>
      </x:c>
      <x:c r="E26" t="str">
        <x:v>nico@rooftopfrequency.example</x:v>
      </x:c>
      <x:c r="F26" t="str">
        <x:v>(555) 010-4963</x:v>
      </x:c>
      <x:c r="G26" t="str">
        <x:v>Jersey City</x:v>
      </x:c>
      <x:c r="H26" t="str">
        <x:v>NJ</x:v>
      </x:c>
      <x:c r="I26" t="str">
        <x:v>Net 15</x:v>
      </x:c>
      <x:c r="J26" t="str">
        <x:v>Freight elevator reservation needed</x:v>
      </x:c>
    </x:row>
    <x:row r="27">
      <x:c r="A27" t="str">
        <x:v>C-1023</x:v>
      </x:c>
      <x:c r="B27" t="str">
        <x:v>Prism Valley</x:v>
      </x:c>
      <x:c r="C27" t="str">
        <x:v>Production Company</x:v>
      </x:c>
      <x:c r="D27" t="str">
        <x:v>Quinn Harper</x:v>
      </x:c>
      <x:c r="E27" t="str">
        <x:v>quinn@prismvalley.example</x:v>
      </x:c>
      <x:c r="F27" t="str">
        <x:v>(555) 010-5488</x:v>
      </x:c>
      <x:c r="G27" t="str">
        <x:v>Kingston</x:v>
      </x:c>
      <x:c r="H27" t="str">
        <x:v>NY</x:v>
      </x:c>
      <x:c r="I27" t="str">
        <x:v>Net 15</x:v>
      </x:c>
      <x:c r="J27" t="str"/>
    </x:row>
    <x:row r="28">
      <x:c r="A28" t="str">
        <x:v>C-1024</x:v>
      </x:c>
      <x:c r="B28" t="str">
        <x:v>Meltwater Sessions</x:v>
      </x:c>
      <x:c r="C28" t="str">
        <x:v>DJ / Artist</x:v>
      </x:c>
      <x:c r="D28" t="str">
        <x:v>Casey Wynn</x:v>
      </x:c>
      <x:c r="E28" t="str">
        <x:v>casey@meltwatersessions.example</x:v>
      </x:c>
      <x:c r="F28" t="str">
        <x:v>(555) 010-6672</x:v>
      </x:c>
      <x:c r="G28" t="str">
        <x:v>Baltimore</x:v>
      </x:c>
      <x:c r="H28" t="str">
        <x:v>MD</x:v>
      </x:c>
      <x:c r="I28" t="str">
        <x:v>Due on Receipt</x:v>
      </x:c>
      <x:c r="J28" t="str"/>
    </x:row>
    <x:row r="29">
      <x:c r="A29" t="str">
        <x:v>C-1025</x:v>
      </x:c>
      <x:c r="B29" t="str">
        <x:v>Copper Echo</x:v>
      </x:c>
      <x:c r="C29" t="str">
        <x:v>Venue</x:v>
      </x:c>
      <x:c r="D29" t="str">
        <x:v>Remy Brooks</x:v>
      </x:c>
      <x:c r="E29" t="str">
        <x:v>remy@copperecho.example</x:v>
      </x:c>
      <x:c r="F29" t="str">
        <x:v>(555) 010-7024</x:v>
      </x:c>
      <x:c r="G29" t="str">
        <x:v>Philadelphia</x:v>
      </x:c>
      <x:c r="H29" t="str">
        <x:v>PA</x:v>
      </x:c>
      <x:c r="I29" t="str">
        <x:v>Net 30</x:v>
      </x:c>
      <x:c r="J29" t="str"/>
    </x:row>
    <x:row r="30">
      <x:c r="A30" t="str">
        <x:v>C-1026</x:v>
      </x:c>
      <x:c r="B30" t="str">
        <x:v>Bloomline Hospitality</x:v>
      </x:c>
      <x:c r="C30" t="str">
        <x:v>Agency</x:v>
      </x:c>
      <x:c r="D30" t="str">
        <x:v>Taylor Reed</x:v>
      </x:c>
      <x:c r="E30" t="str">
        <x:v>taylor@bloomlinehospitality.example</x:v>
      </x:c>
      <x:c r="F30" t="str">
        <x:v>(555) 010-8451</x:v>
      </x:c>
      <x:c r="G30" t="str">
        <x:v>New York</x:v>
      </x:c>
      <x:c r="H30" t="str">
        <x:v>NY</x:v>
      </x:c>
      <x:c r="I30" t="str">
        <x:v>Net 30</x:v>
      </x:c>
      <x:c r="J30" t="str">
        <x:v>Brand activation inquiries</x:v>
      </x:c>
    </x:row>
    <x:row r="31">
      <x:c r="A31" t="str">
        <x:v>C-1027</x:v>
      </x:c>
      <x:c r="B31" t="str">
        <x:v>Fathom Dance Co.</x:v>
      </x:c>
      <x:c r="C31" t="str">
        <x:v>Performing Arts</x:v>
      </x:c>
      <x:c r="D31" t="str">
        <x:v>Devon Price</x:v>
      </x:c>
      <x:c r="E31" t="str">
        <x:v>devon@fathomdance.example</x:v>
      </x:c>
      <x:c r="F31" t="str">
        <x:v>(555) 010-9601</x:v>
      </x:c>
      <x:c r="G31" t="str">
        <x:v>Brooklyn</x:v>
      </x:c>
      <x:c r="H31" t="str">
        <x:v>NY</x:v>
      </x:c>
      <x:c r="I31" t="str">
        <x:v>Net 15</x:v>
      </x:c>
      <x:c r="J31" t="str"/>
    </x:row>
    <x:row r="32">
      <x:c r="A32" t="str">
        <x:v>C-1028</x:v>
      </x:c>
      <x:c r="B32" t="str">
        <x:v>Tidepool Sound Lab</x:v>
      </x:c>
      <x:c r="C32" t="str">
        <x:v>Production Company</x:v>
      </x:c>
      <x:c r="D32" t="str">
        <x:v>Robin Chase</x:v>
      </x:c>
      <x:c r="E32" t="str">
        <x:v>robin@tidepoolsound.example</x:v>
      </x:c>
      <x:c r="F32" t="str">
        <x:v>(555) 010-0718</x:v>
      </x:c>
      <x:c r="G32" t="str">
        <x:v>Newark</x:v>
      </x:c>
      <x:c r="H32" t="str">
        <x:v>NJ</x:v>
      </x:c>
      <x:c r="I32" t="str">
        <x:v>Net 15</x:v>
      </x:c>
      <x:c r="J32" t="str"/>
    </x:row>
    <x:row r="33">
      <x:c r="A33" t="str">
        <x:v>C-1029</x:v>
      </x:c>
      <x:c r="B33" t="str">
        <x:v>Mirage Market</x:v>
      </x:c>
      <x:c r="C33" t="str">
        <x:v>Promoter</x:v>
      </x:c>
      <x:c r="D33" t="str">
        <x:v>Bailey Frost</x:v>
      </x:c>
      <x:c r="E33" t="str">
        <x:v>bailey@miragemarket.example</x:v>
      </x:c>
      <x:c r="F33" t="str">
        <x:v>(555) 010-1820</x:v>
      </x:c>
      <x:c r="G33" t="str">
        <x:v>New York</x:v>
      </x:c>
      <x:c r="H33" t="str">
        <x:v>NY</x:v>
      </x:c>
      <x:c r="I33" t="str">
        <x:v>Due on Receipt</x:v>
      </x:c>
      <x:c r="J33" t="str"/>
    </x:row>
    <x:row r="34">
      <x:c r="A34" t="str">
        <x:v>C-1030</x:v>
      </x:c>
      <x:c r="B34" t="str">
        <x:v>Mothlight Studio</x:v>
      </x:c>
      <x:c r="C34" t="str">
        <x:v>Arts / Brand</x:v>
      </x:c>
      <x:c r="D34" t="str">
        <x:v>Sky Navarro</x:v>
      </x:c>
      <x:c r="E34" t="str">
        <x:v>sky@mothlightstudio.example</x:v>
      </x:c>
      <x:c r="F34" t="str">
        <x:v>(555) 010-2917</x:v>
      </x:c>
      <x:c r="G34" t="str">
        <x:v>Brooklyn</x:v>
      </x:c>
      <x:c r="H34" t="str">
        <x:v>NY</x:v>
      </x:c>
      <x:c r="I34" t="str">
        <x:v>Net 30</x:v>
      </x:c>
      <x:c r="J34" t="str">
        <x:v>Pop-up installations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76f6797be9749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31" hidden="0" customWidth="1"/>
    <x:col min="4" max="4" width="28" hidden="0" customWidth="1"/>
    <x:col min="5" max="5" width="16" hidden="0" customWidth="1"/>
    <x:col min="6" max="6" width="8" hidden="0" customWidth="1"/>
    <x:col min="7" max="7" width="13" hidden="0" customWidth="1"/>
    <x:col min="8" max="8" width="13" hidden="0" customWidth="1"/>
    <x:col min="9" max="9" width="15" hidden="0" customWidth="1"/>
    <x:col min="10" max="10" width="13" hidden="0" customWidth="1"/>
    <x:col min="11" max="11" width="18" hidden="0" customWidth="1"/>
    <x:col min="12" max="12" width="15" hidden="0" customWidth="1"/>
    <x:col min="13" max="13" width="17" hidden="0" customWidth="1"/>
    <x:col min="14" max="14" width="16" hidden="0" customWidth="1"/>
    <x:col min="15" max="15" width="38" hidden="0" customWidth="1"/>
  </x:cols>
  <x:sheetData>
    <x:row r="1" ht="28" customHeight="1">
      <x:c r="A1" s="4" t="str">
        <x:v>Rental Schedule</x:v>
      </x:c>
    </x:row>
    <x:row r="2" ht="24" customHeight="1">
      <x:c r="A2" s="7" t="str">
        <x:v>One row per customer job. Statuses are manually updated and cancellation cleanup is inconsistent.</x:v>
      </x:c>
    </x:row>
    <x:row r="4">
      <x:c r="A4" s="28" t="str">
        <x:v>Rental ID</x:v>
      </x:c>
      <x:c r="B4" s="33" t="str">
        <x:v>Customer ID</x:v>
      </x:c>
      <x:c r="C4" s="33" t="str">
        <x:v>Event / Job Name</x:v>
      </x:c>
      <x:c r="D4" s="33" t="str">
        <x:v>Venue / Site</x:v>
      </x:c>
      <x:c r="E4" s="33" t="str">
        <x:v>City</x:v>
      </x:c>
      <x:c r="F4" s="33" t="str">
        <x:v>State</x:v>
      </x:c>
      <x:c r="G4" s="33" t="str">
        <x:v>Start Date</x:v>
      </x:c>
      <x:c r="H4" s="33" t="str">
        <x:v>End Date</x:v>
      </x:c>
      <x:c r="I4" s="33" t="str">
        <x:v>Status</x:v>
      </x:c>
      <x:c r="J4" s="33" t="str">
        <x:v>Booked By</x:v>
      </x:c>
      <x:c r="K4" s="33" t="str">
        <x:v>Delivery Method</x:v>
      </x:c>
      <x:c r="L4" s="33" t="str">
        <x:v>Quoted Amount</x:v>
      </x:c>
      <x:c r="M4" s="33" t="str">
        <x:v>Deposit Received</x:v>
      </x:c>
      <x:c r="N4" s="33" t="str">
        <x:v>PO / Reference</x:v>
      </x:c>
      <x:c r="O4" s="29" t="str">
        <x:v>Internal Notes</x:v>
      </x:c>
    </x:row>
    <x:row r="5">
      <x:c r="A5" t="str">
        <x:v>R-26061</x:v>
      </x:c>
      <x:c r="B5" t="str">
        <x:v>C-1014</x:v>
      </x:c>
      <x:c r="C5" t="str">
        <x:v>Velvet Rail: Open Decks</x:v>
      </x:c>
      <x:c r="D5" t="str">
        <x:v>Velvet Rail</x:v>
      </x:c>
      <x:c r="E5" t="str">
        <x:v>Brooklyn</x:v>
      </x:c>
      <x:c r="F5" t="str">
        <x:v>NY</x:v>
      </x:c>
      <x:c r="G5" s="36" t="n">
        <x:v>46151</x:v>
      </x:c>
      <x:c r="H5" s="36" t="n">
        <x:v>46152</x:v>
      </x:c>
      <x:c r="I5" t="str">
        <x:v>Returned</x:v>
      </x:c>
      <x:c r="J5" t="str">
        <x:v>M. Lin</x:v>
      </x:c>
      <x:c r="K5" t="str">
        <x:v>Customer Pickup</x:v>
      </x:c>
      <x:c r="L5" s="35" t="n">
        <x:v>1280</x:v>
      </x:c>
      <x:c r="M5" s="35" t="n">
        <x:v>1280</x:v>
      </x:c>
      <x:c r="N5" t="str">
        <x:v>VR-0509</x:v>
      </x:c>
      <x:c r="O5" t="str">
        <x:v>One speaker came back late</x:v>
      </x:c>
    </x:row>
    <x:row r="6">
      <x:c r="A6" t="str">
        <x:v>R-26062</x:v>
      </x:c>
      <x:c r="B6" t="str">
        <x:v>C-1006</x:v>
      </x:c>
      <x:c r="C6" t="str">
        <x:v>Arcfield Spring Night</x:v>
      </x:c>
      <x:c r="D6" t="str">
        <x:v>Pier Arts Annex</x:v>
      </x:c>
      <x:c r="E6" t="str">
        <x:v>Baltimore</x:v>
      </x:c>
      <x:c r="F6" t="str">
        <x:v>MD</x:v>
      </x:c>
      <x:c r="G6" s="36" t="n">
        <x:v>46158</x:v>
      </x:c>
      <x:c r="H6" s="36" t="n">
        <x:v>46160</x:v>
      </x:c>
      <x:c r="I6" t="str">
        <x:v>Returned</x:v>
      </x:c>
      <x:c r="J6" t="str">
        <x:v>J. Holt</x:v>
      </x:c>
      <x:c r="K6" t="str">
        <x:v>Delivery</x:v>
      </x:c>
      <x:c r="L6" s="35" t="n">
        <x:v>6840</x:v>
      </x:c>
      <x:c r="M6" s="35" t="n">
        <x:v>3000</x:v>
      </x:c>
      <x:c r="N6" t="str">
        <x:v>AF-2026-19</x:v>
      </x:c>
      <x:c r="O6" t="str">
        <x:v>Outdoor, add cable ramps</x:v>
      </x:c>
    </x:row>
    <x:row r="7">
      <x:c r="A7" t="str">
        <x:v>R-26063</x:v>
      </x:c>
      <x:c r="B7" t="str">
        <x:v>C-1002</x:v>
      </x:c>
      <x:c r="C7" t="str">
        <x:v>Kestrel Warehouse Social</x:v>
      </x:c>
      <x:c r="D7" t="str">
        <x:v>Harbor Warehouse</x:v>
      </x:c>
      <x:c r="E7" t="str">
        <x:v>Queens</x:v>
      </x:c>
      <x:c r="F7" t="str">
        <x:v>NY</x:v>
      </x:c>
      <x:c r="G7" s="36" t="n">
        <x:v>46165</x:v>
      </x:c>
      <x:c r="H7" s="36" t="n">
        <x:v>46166</x:v>
      </x:c>
      <x:c r="I7" t="str">
        <x:v>Returned</x:v>
      </x:c>
      <x:c r="J7" t="str">
        <x:v>M. Lin</x:v>
      </x:c>
      <x:c r="K7" t="str">
        <x:v>Delivery</x:v>
      </x:c>
      <x:c r="L7" s="35" t="n">
        <x:v>2220</x:v>
      </x:c>
      <x:c r="M7" s="35" t="n">
        <x:v>1000</x:v>
      </x:c>
      <x:c r="N7" t="str"/>
      <x:c r="O7" t="str">
        <x:v>Headset count disputed at pickup</x:v>
      </x:c>
    </x:row>
    <x:row r="8">
      <x:c r="A8" t="str">
        <x:v>R-26064</x:v>
      </x:c>
      <x:c r="B8" t="str">
        <x:v>C-1011</x:v>
      </x:c>
      <x:c r="C8" t="str">
        <x:v>BPM Society: Finals</x:v>
      </x:c>
      <x:c r="D8" t="str">
        <x:v>Northside Hall</x:v>
      </x:c>
      <x:c r="E8" t="str">
        <x:v>New Haven</x:v>
      </x:c>
      <x:c r="F8" t="str">
        <x:v>CT</x:v>
      </x:c>
      <x:c r="G8" s="36" t="n">
        <x:v>46171</x:v>
      </x:c>
      <x:c r="H8" s="36" t="n">
        <x:v>46173</x:v>
      </x:c>
      <x:c r="I8" t="str">
        <x:v>Returned</x:v>
      </x:c>
      <x:c r="J8" t="str">
        <x:v>J. Holt</x:v>
      </x:c>
      <x:c r="K8" t="str">
        <x:v>Delivery</x:v>
      </x:c>
      <x:c r="L8" s="35" t="n">
        <x:v>4950</x:v>
      </x:c>
      <x:c r="M8" s="35" t="n">
        <x:v>0</x:v>
      </x:c>
      <x:c r="N8" t="str">
        <x:v>PO-NS-771</x:v>
      </x:c>
      <x:c r="O8" t="str">
        <x:v>University PO received after event</x:v>
      </x:c>
    </x:row>
    <x:row r="9">
      <x:c r="A9" t="str">
        <x:v>R-26065</x:v>
      </x:c>
      <x:c r="B9" t="str">
        <x:v>C-1010</x:v>
      </x:c>
      <x:c r="C9" t="str">
        <x:v>Raincheck Raves: Boardwalk</x:v>
      </x:c>
      <x:c r="D9" t="str">
        <x:v>South Boardwalk Lot</x:v>
      </x:c>
      <x:c r="E9" t="str">
        <x:v>Asbury Park</x:v>
      </x:c>
      <x:c r="F9" t="str">
        <x:v>NJ</x:v>
      </x:c>
      <x:c r="G9" s="36" t="n">
        <x:v>46179</x:v>
      </x:c>
      <x:c r="H9" s="36" t="n">
        <x:v>46181</x:v>
      </x:c>
      <x:c r="I9" t="str">
        <x:v>Returned</x:v>
      </x:c>
      <x:c r="J9" t="str">
        <x:v>M. Lin</x:v>
      </x:c>
      <x:c r="K9" t="str">
        <x:v>Delivery</x:v>
      </x:c>
      <x:c r="L9" s="35" t="n">
        <x:v>9180</x:v>
      </x:c>
      <x:c r="M9" s="35" t="n">
        <x:v>4600</x:v>
      </x:c>
      <x:c r="N9" t="str">
        <x:v>RR-0606</x:v>
      </x:c>
      <x:c r="O9" t="str">
        <x:v>Wind plan required</x:v>
      </x:c>
    </x:row>
    <x:row r="10">
      <x:c r="A10" t="str">
        <x:v>R-26066</x:v>
      </x:c>
      <x:c r="B10" t="str">
        <x:v>C-1025</x:v>
      </x:c>
      <x:c r="C10" t="str">
        <x:v>Copper Echo: Album Night</x:v>
      </x:c>
      <x:c r="D10" t="str">
        <x:v>Copper Echo</x:v>
      </x:c>
      <x:c r="E10" t="str">
        <x:v>Philadelphia</x:v>
      </x:c>
      <x:c r="F10" t="str">
        <x:v>PA</x:v>
      </x:c>
      <x:c r="G10" s="36" t="n">
        <x:v>46185</x:v>
      </x:c>
      <x:c r="H10" s="36" t="n">
        <x:v>46186</x:v>
      </x:c>
      <x:c r="I10" t="str">
        <x:v>Returned</x:v>
      </x:c>
      <x:c r="J10" t="str">
        <x:v>J. Holt</x:v>
      </x:c>
      <x:c r="K10" t="str">
        <x:v>Customer Pickup</x:v>
      </x:c>
      <x:c r="L10" s="35" t="n">
        <x:v>1760</x:v>
      </x:c>
      <x:c r="M10" s="35" t="n">
        <x:v>1760</x:v>
      </x:c>
      <x:c r="N10" t="str"/>
      <x:c r="O10" t="str"/>
    </x:row>
    <x:row r="11">
      <x:c r="A11" t="str">
        <x:v>R-26067</x:v>
      </x:c>
      <x:c r="B11" t="str">
        <x:v>C-1017</x:v>
      </x:c>
      <x:c r="C11" t="str">
        <x:v>East River Arts Week</x:v>
      </x:c>
      <x:c r="D11" t="str">
        <x:v>Riverside Plaza</x:v>
      </x:c>
      <x:c r="E11" t="str">
        <x:v>New York</x:v>
      </x:c>
      <x:c r="F11" t="str">
        <x:v>NY</x:v>
      </x:c>
      <x:c r="G11" s="36" t="n">
        <x:v>46191</x:v>
      </x:c>
      <x:c r="H11" s="36" t="n">
        <x:v>46195</x:v>
      </x:c>
      <x:c r="I11" t="str">
        <x:v>Returned</x:v>
      </x:c>
      <x:c r="J11" t="str">
        <x:v>M. Lin</x:v>
      </x:c>
      <x:c r="K11" t="str">
        <x:v>Delivery</x:v>
      </x:c>
      <x:c r="L11" s="35" t="n">
        <x:v>11350</x:v>
      </x:c>
      <x:c r="M11" s="35" t="n">
        <x:v>5000</x:v>
      </x:c>
      <x:c r="N11" t="str">
        <x:v>ERAW-06</x:v>
      </x:c>
      <x:c r="O11" t="str">
        <x:v>One water station sublet externally</x:v>
      </x:c>
    </x:row>
    <x:row r="12">
      <x:c r="A12" t="str">
        <x:v>R-26068</x:v>
      </x:c>
      <x:c r="B12" t="str">
        <x:v>C-1021</x:v>
      </x:c>
      <x:c r="C12" t="str">
        <x:v>Blue Hour Picnic</x:v>
      </x:c>
      <x:c r="D12" t="str">
        <x:v>Long Dock Lawn</x:v>
      </x:c>
      <x:c r="E12" t="str">
        <x:v>Beacon</x:v>
      </x:c>
      <x:c r="F12" t="str">
        <x:v>NY</x:v>
      </x:c>
      <x:c r="G12" s="36" t="n">
        <x:v>46193</x:v>
      </x:c>
      <x:c r="H12" s="36" t="n">
        <x:v>46194</x:v>
      </x:c>
      <x:c r="I12" t="str">
        <x:v>Canceled</x:v>
      </x:c>
      <x:c r="J12" t="str">
        <x:v>J. Holt</x:v>
      </x:c>
      <x:c r="K12" t="str">
        <x:v>Delivery</x:v>
      </x:c>
      <x:c r="L12" s="35" t="n">
        <x:v>2480</x:v>
      </x:c>
      <x:c r="M12" s="35" t="n">
        <x:v>0</x:v>
      </x:c>
      <x:c r="N12" t="str"/>
      <x:c r="O12" t="str">
        <x:v>Rain cancellation — line items never cleared</x:v>
      </x:c>
    </x:row>
    <x:row r="13">
      <x:c r="A13" t="str">
        <x:v>R-26069</x:v>
      </x:c>
      <x:c r="B13" t="str">
        <x:v>C-1003</x:v>
      </x:c>
      <x:c r="C13" t="str">
        <x:v>Orbit Room: Summer Launch</x:v>
      </x:c>
      <x:c r="D13" t="str">
        <x:v>The Orbit Room</x:v>
      </x:c>
      <x:c r="E13" t="str">
        <x:v>Philadelphia</x:v>
      </x:c>
      <x:c r="F13" t="str">
        <x:v>PA</x:v>
      </x:c>
      <x:c r="G13" s="36" t="n">
        <x:v>46199</x:v>
      </x:c>
      <x:c r="H13" s="36" t="n">
        <x:v>46201</x:v>
      </x:c>
      <x:c r="I13" t="str">
        <x:v>Returned</x:v>
      </x:c>
      <x:c r="J13" t="str">
        <x:v>M. Lin</x:v>
      </x:c>
      <x:c r="K13" t="str">
        <x:v>Delivery</x:v>
      </x:c>
      <x:c r="L13" s="35" t="n">
        <x:v>6240</x:v>
      </x:c>
      <x:c r="M13" s="35" t="n">
        <x:v>2500</x:v>
      </x:c>
      <x:c r="N13" t="str">
        <x:v>OR-584</x:v>
      </x:c>
      <x:c r="O13" t="str"/>
    </x:row>
    <x:row r="14">
      <x:c r="A14" t="str">
        <x:v>R-26070</x:v>
      </x:c>
      <x:c r="B14" t="str">
        <x:v>C-1028</x:v>
      </x:c>
      <x:c r="C14" t="str">
        <x:v>Tidepool Sound Lab Test</x:v>
      </x:c>
      <x:c r="D14" t="str">
        <x:v>Tidepool Studio</x:v>
      </x:c>
      <x:c r="E14" t="str">
        <x:v>Newark</x:v>
      </x:c>
      <x:c r="F14" t="str">
        <x:v>NJ</x:v>
      </x:c>
      <x:c r="G14" s="36" t="n">
        <x:v>46204</x:v>
      </x:c>
      <x:c r="H14" s="36" t="n">
        <x:v>46205</x:v>
      </x:c>
      <x:c r="I14" t="str">
        <x:v>Returned</x:v>
      </x:c>
      <x:c r="J14" t="str">
        <x:v>J. Holt</x:v>
      </x:c>
      <x:c r="K14" t="str">
        <x:v>Customer Pickup</x:v>
      </x:c>
      <x:c r="L14" s="35" t="n">
        <x:v>930</x:v>
      </x:c>
      <x:c r="M14" s="35" t="n">
        <x:v>930</x:v>
      </x:c>
      <x:c r="N14" t="str"/>
      <x:c r="O14" t="str">
        <x:v>Small dry run</x:v>
      </x:c>
    </x:row>
    <x:row r="15">
      <x:c r="A15" t="str">
        <x:v>R-26071</x:v>
      </x:c>
      <x:c r="B15" t="str">
        <x:v>C-1005</x:v>
      </x:c>
      <x:c r="C15" t="str">
        <x:v>Lumen Lot: Daydream</x:v>
      </x:c>
      <x:c r="D15" t="str">
        <x:v>Lumen Lot</x:v>
      </x:c>
      <x:c r="E15" t="str">
        <x:v>Jersey City</x:v>
      </x:c>
      <x:c r="F15" t="str">
        <x:v>NJ</x:v>
      </x:c>
      <x:c r="G15" s="36" t="n">
        <x:v>46206</x:v>
      </x:c>
      <x:c r="H15" s="36" t="n">
        <x:v>46209</x:v>
      </x:c>
      <x:c r="I15" t="str">
        <x:v>Returned</x:v>
      </x:c>
      <x:c r="J15" t="str">
        <x:v>M. Lin</x:v>
      </x:c>
      <x:c r="K15" t="str">
        <x:v>Delivery</x:v>
      </x:c>
      <x:c r="L15" s="35" t="n">
        <x:v>14580</x:v>
      </x:c>
      <x:c r="M15" s="35" t="n">
        <x:v>7000</x:v>
      </x:c>
      <x:c r="N15" t="str">
        <x:v>LL-117</x:v>
      </x:c>
      <x:c r="O15" t="str">
        <x:v>Two extra stage decks requested onsite</x:v>
      </x:c>
    </x:row>
    <x:row r="16">
      <x:c r="A16" t="str">
        <x:v>R-26072</x:v>
      </x:c>
      <x:c r="B16" t="str">
        <x:v>C-1013</x:v>
      </x:c>
      <x:c r="C16" t="str">
        <x:v>Signal Garden Pop-up</x:v>
      </x:c>
      <x:c r="D16" t="str">
        <x:v>Old Mill Courtyard</x:v>
      </x:c>
      <x:c r="E16" t="str">
        <x:v>Hudson</x:v>
      </x:c>
      <x:c r="F16" t="str">
        <x:v>NY</x:v>
      </x:c>
      <x:c r="G16" s="36" t="n">
        <x:v>46214</x:v>
      </x:c>
      <x:c r="H16" s="36" t="n">
        <x:v>46215</x:v>
      </x:c>
      <x:c r="I16" t="str">
        <x:v>Returned</x:v>
      </x:c>
      <x:c r="J16" t="str">
        <x:v>J. Holt</x:v>
      </x:c>
      <x:c r="K16" t="str">
        <x:v>Delivery</x:v>
      </x:c>
      <x:c r="L16" s="35" t="n">
        <x:v>3890</x:v>
      </x:c>
      <x:c r="M16" s="35" t="n">
        <x:v>1500</x:v>
      </x:c>
      <x:c r="N16" t="str">
        <x:v>SG-0711</x:v>
      </x:c>
      <x:c r="O16" t="str"/>
    </x:row>
    <x:row r="17">
      <x:c r="A17" t="str">
        <x:v>R-26073</x:v>
      </x:c>
      <x:c r="B17" t="str">
        <x:v>C-1004</x:v>
      </x:c>
      <x:c r="C17" t="str">
        <x:v>Neon Vale Birthday Set</x:v>
      </x:c>
      <x:c r="D17" t="str">
        <x:v>The Switchyard</x:v>
      </x:c>
      <x:c r="E17" t="str">
        <x:v>New York</x:v>
      </x:c>
      <x:c r="F17" t="str">
        <x:v>NY</x:v>
      </x:c>
      <x:c r="G17" s="36" t="n">
        <x:v>46220</x:v>
      </x:c>
      <x:c r="H17" s="36" t="n">
        <x:v>46221</x:v>
      </x:c>
      <x:c r="I17" t="str">
        <x:v>Returned</x:v>
      </x:c>
      <x:c r="J17" t="str">
        <x:v>M. Lin</x:v>
      </x:c>
      <x:c r="K17" t="str">
        <x:v>Customer Pickup</x:v>
      </x:c>
      <x:c r="L17" s="35" t="n">
        <x:v>1200</x:v>
      </x:c>
      <x:c r="M17" s="35" t="n">
        <x:v>1200</x:v>
      </x:c>
      <x:c r="N17" t="str"/>
      <x:c r="O17" t="str"/>
    </x:row>
    <x:row r="18">
      <x:c r="A18" t="str">
        <x:v>R-26074</x:v>
      </x:c>
      <x:c r="B18" t="str">
        <x:v>C-1008</x:v>
      </x:c>
      <x:c r="C18" t="str">
        <x:v>Mosaic House: Pulse</x:v>
      </x:c>
      <x:c r="D18" t="str">
        <x:v>Mosaic House</x:v>
      </x:c>
      <x:c r="E18" t="str">
        <x:v>Newark</x:v>
      </x:c>
      <x:c r="F18" t="str">
        <x:v>NJ</x:v>
      </x:c>
      <x:c r="G18" s="36" t="n">
        <x:v>46221</x:v>
      </x:c>
      <x:c r="H18" s="36" t="n">
        <x:v>46222</x:v>
      </x:c>
      <x:c r="I18" t="str">
        <x:v>Returned</x:v>
      </x:c>
      <x:c r="J18" t="str">
        <x:v>J. Holt</x:v>
      </x:c>
      <x:c r="K18" t="str">
        <x:v>Delivery</x:v>
      </x:c>
      <x:c r="L18" s="35" t="n">
        <x:v>3650</x:v>
      </x:c>
      <x:c r="M18" s="35" t="n">
        <x:v>1500</x:v>
      </x:c>
      <x:c r="N18" t="str">
        <x:v>MH-719</x:v>
      </x:c>
      <x:c r="O18" t="str">
        <x:v>Returned Sunday night</x:v>
      </x:c>
    </x:row>
    <x:row r="19">
      <x:c r="A19" t="str">
        <x:v>R-26075</x:v>
      </x:c>
      <x:c r="B19" t="str">
        <x:v>C-1020</x:v>
      </x:c>
      <x:c r="C19" t="str">
        <x:v>Afterimage Tech Mixer</x:v>
      </x:c>
      <x:c r="D19" t="str">
        <x:v>Westline Gallery</x:v>
      </x:c>
      <x:c r="E19" t="str">
        <x:v>New York</x:v>
      </x:c>
      <x:c r="F19" t="str">
        <x:v>NY</x:v>
      </x:c>
      <x:c r="G19" s="36" t="n">
        <x:v>46226</x:v>
      </x:c>
      <x:c r="H19" s="36" t="n">
        <x:v>46227</x:v>
      </x:c>
      <x:c r="I19" t="str">
        <x:v>Returned</x:v>
      </x:c>
      <x:c r="J19" t="str">
        <x:v>M. Lin</x:v>
      </x:c>
      <x:c r="K19" t="str">
        <x:v>Delivery</x:v>
      </x:c>
      <x:c r="L19" s="35" t="n">
        <x:v>4480</x:v>
      </x:c>
      <x:c r="M19" s="35" t="n">
        <x:v>4480</x:v>
      </x:c>
      <x:c r="N19" t="str">
        <x:v>AIP-440</x:v>
      </x:c>
      <x:c r="O19" t="str">
        <x:v>Corporate decor added</x:v>
      </x:c>
    </x:row>
    <x:row r="20">
      <x:c r="A20" t="str">
        <x:v>R-26076</x:v>
      </x:c>
      <x:c r="B20" t="str">
        <x:v>C-1019</x:v>
      </x:c>
      <x:c r="C20" t="str">
        <x:v>Cosmic Local 9: Basement</x:v>
      </x:c>
      <x:c r="D20" t="str">
        <x:v>Cosmic Local 9</x:v>
      </x:c>
      <x:c r="E20" t="str">
        <x:v>Bronx</x:v>
      </x:c>
      <x:c r="F20" t="str">
        <x:v>NY</x:v>
      </x:c>
      <x:c r="G20" s="36" t="n">
        <x:v>46228</x:v>
      </x:c>
      <x:c r="H20" s="36" t="n">
        <x:v>46229</x:v>
      </x:c>
      <x:c r="I20" t="str">
        <x:v>Returned</x:v>
      </x:c>
      <x:c r="J20" t="str">
        <x:v>J. Holt</x:v>
      </x:c>
      <x:c r="K20" t="str">
        <x:v>Customer Pickup</x:v>
      </x:c>
      <x:c r="L20" s="35" t="n">
        <x:v>1990</x:v>
      </x:c>
      <x:c r="M20" s="35" t="n">
        <x:v>1990</x:v>
      </x:c>
      <x:c r="N20" t="str"/>
      <x:c r="O20" t="str"/>
    </x:row>
    <x:row r="21">
      <x:c r="A21" t="str">
        <x:v>R-26077</x:v>
      </x:c>
      <x:c r="B21" t="str">
        <x:v>C-1009</x:v>
      </x:c>
      <x:c r="C21" t="str">
        <x:v>Dawn Circuit: 5AM</x:v>
      </x:c>
      <x:c r="D21" t="str">
        <x:v>Foundry 12</x:v>
      </x:c>
      <x:c r="E21" t="str">
        <x:v>Boston</x:v>
      </x:c>
      <x:c r="F21" t="str">
        <x:v>MA</x:v>
      </x:c>
      <x:c r="G21" s="36" t="n">
        <x:v>46235</x:v>
      </x:c>
      <x:c r="H21" s="36" t="n">
        <x:v>46237</x:v>
      </x:c>
      <x:c r="I21" t="str">
        <x:v>Returned</x:v>
      </x:c>
      <x:c r="J21" t="str">
        <x:v>M. Lin</x:v>
      </x:c>
      <x:c r="K21" t="str">
        <x:v>Delivery</x:v>
      </x:c>
      <x:c r="L21" s="35" t="n">
        <x:v>8640</x:v>
      </x:c>
      <x:c r="M21" s="35" t="n">
        <x:v>4000</x:v>
      </x:c>
      <x:c r="N21" t="str">
        <x:v>DC-5AM</x:v>
      </x:c>
      <x:c r="O21" t="str">
        <x:v>Two-hour loadout window</x:v>
      </x:c>
    </x:row>
    <x:row r="22">
      <x:c r="A22" t="str">
        <x:v>R-26078</x:v>
      </x:c>
      <x:c r="B22" t="str">
        <x:v>C-1027</x:v>
      </x:c>
      <x:c r="C22" t="str">
        <x:v>Fathom Dance: Night Tide</x:v>
      </x:c>
      <x:c r="D22" t="str">
        <x:v>Fathom Studio</x:v>
      </x:c>
      <x:c r="E22" t="str">
        <x:v>Brooklyn</x:v>
      </x:c>
      <x:c r="F22" t="str">
        <x:v>NY</x:v>
      </x:c>
      <x:c r="G22" s="36" t="n">
        <x:v>46239</x:v>
      </x:c>
      <x:c r="H22" s="36" t="n">
        <x:v>46240</x:v>
      </x:c>
      <x:c r="I22" t="str">
        <x:v>Returned</x:v>
      </x:c>
      <x:c r="J22" t="str">
        <x:v>J. Holt</x:v>
      </x:c>
      <x:c r="K22" t="str">
        <x:v>Delivery</x:v>
      </x:c>
      <x:c r="L22" s="35" t="n">
        <x:v>2760</x:v>
      </x:c>
      <x:c r="M22" s="35" t="n">
        <x:v>1300</x:v>
      </x:c>
      <x:c r="N22" t="str">
        <x:v>FD-824</x:v>
      </x:c>
      <x:c r="O22" t="str"/>
    </x:row>
    <x:row r="23">
      <x:c r="A23" t="str">
        <x:v>R-26079</x:v>
      </x:c>
      <x:c r="B23" t="str">
        <x:v>C-1001</x:v>
      </x:c>
      <x:c r="C23" t="str">
        <x:v>Pulse Junction: Signal Fire</x:v>
      </x:c>
      <x:c r="D23" t="str">
        <x:v>Eastpoint Lot</x:v>
      </x:c>
      <x:c r="E23" t="str">
        <x:v>Brooklyn</x:v>
      </x:c>
      <x:c r="F23" t="str">
        <x:v>NY</x:v>
      </x:c>
      <x:c r="G23" s="36" t="n">
        <x:v>46242</x:v>
      </x:c>
      <x:c r="H23" s="36" t="n">
        <x:v>46244</x:v>
      </x:c>
      <x:c r="I23" t="str">
        <x:v>Returned</x:v>
      </x:c>
      <x:c r="J23" t="str">
        <x:v>M. Lin</x:v>
      </x:c>
      <x:c r="K23" t="str">
        <x:v>Delivery</x:v>
      </x:c>
      <x:c r="L23" s="35" t="n">
        <x:v>15890</x:v>
      </x:c>
      <x:c r="M23" s="35" t="n">
        <x:v>7500</x:v>
      </x:c>
      <x:c r="N23" t="str">
        <x:v>PJ-0810</x:v>
      </x:c>
      <x:c r="O23" t="str">
        <x:v>Customer supplied additional generators</x:v>
      </x:c>
    </x:row>
    <x:row r="24">
      <x:c r="A24" t="str">
        <x:v>R-26080</x:v>
      </x:c>
      <x:c r="B24" t="str">
        <x:v>C-1015</x:v>
      </x:c>
      <x:c r="C24" t="str">
        <x:v>Night Orchard: Sunroom</x:v>
      </x:c>
      <x:c r="D24" t="str">
        <x:v>Brighton Mill</x:v>
      </x:c>
      <x:c r="E24" t="str">
        <x:v>Providence</x:v>
      </x:c>
      <x:c r="F24" t="str">
        <x:v>RI</x:v>
      </x:c>
      <x:c r="G24" s="36" t="n">
        <x:v>46248</x:v>
      </x:c>
      <x:c r="H24" s="36" t="n">
        <x:v>46250</x:v>
      </x:c>
      <x:c r="I24" t="str">
        <x:v>Returned</x:v>
      </x:c>
      <x:c r="J24" t="str">
        <x:v>J. Holt</x:v>
      </x:c>
      <x:c r="K24" t="str">
        <x:v>Delivery</x:v>
      </x:c>
      <x:c r="L24" s="35" t="n">
        <x:v>7340</x:v>
      </x:c>
      <x:c r="M24" s="35" t="n">
        <x:v>3000</x:v>
      </x:c>
      <x:c r="N24" t="str">
        <x:v>NO-0814</x:v>
      </x:c>
      <x:c r="O24" t="str"/>
    </x:row>
    <x:row r="25">
      <x:c r="A25" t="str">
        <x:v>R-26081</x:v>
      </x:c>
      <x:c r="B25" t="str">
        <x:v>C-1022</x:v>
      </x:c>
      <x:c r="C25" t="str">
        <x:v>Rooftop Frequency: August</x:v>
      </x:c>
      <x:c r="D25" t="str">
        <x:v>Union Roof</x:v>
      </x:c>
      <x:c r="E25" t="str">
        <x:v>Jersey City</x:v>
      </x:c>
      <x:c r="F25" t="str">
        <x:v>NJ</x:v>
      </x:c>
      <x:c r="G25" s="36" t="n">
        <x:v>46249</x:v>
      </x:c>
      <x:c r="H25" s="36" t="n">
        <x:v>46250</x:v>
      </x:c>
      <x:c r="I25" t="str">
        <x:v>Returned</x:v>
      </x:c>
      <x:c r="J25" t="str">
        <x:v>M. Lin</x:v>
      </x:c>
      <x:c r="K25" t="str">
        <x:v>Delivery</x:v>
      </x:c>
      <x:c r="L25" s="35" t="n">
        <x:v>3150</x:v>
      </x:c>
      <x:c r="M25" s="35" t="n">
        <x:v>1500</x:v>
      </x:c>
      <x:c r="N25" t="str">
        <x:v>RF-816</x:v>
      </x:c>
      <x:c r="O25" t="str">
        <x:v>Freight elevator 4-6 PM</x:v>
      </x:c>
    </x:row>
    <x:row r="26">
      <x:c r="A26" t="str">
        <x:v>R-26082</x:v>
      </x:c>
      <x:c r="B26" t="str">
        <x:v>C-1024</x:v>
      </x:c>
      <x:c r="C26" t="str">
        <x:v>Meltwater Sessions: Static</x:v>
      </x:c>
      <x:c r="D26" t="str">
        <x:v>Druid Hall</x:v>
      </x:c>
      <x:c r="E26" t="str">
        <x:v>Baltimore</x:v>
      </x:c>
      <x:c r="F26" t="str">
        <x:v>MD</x:v>
      </x:c>
      <x:c r="G26" s="36" t="n">
        <x:v>46255</x:v>
      </x:c>
      <x:c r="H26" s="36" t="n">
        <x:v>46256</x:v>
      </x:c>
      <x:c r="I26" t="str">
        <x:v>Returned</x:v>
      </x:c>
      <x:c r="J26" t="str">
        <x:v>J. Holt</x:v>
      </x:c>
      <x:c r="K26" t="str">
        <x:v>Customer Pickup</x:v>
      </x:c>
      <x:c r="L26" s="35" t="n">
        <x:v>1480</x:v>
      </x:c>
      <x:c r="M26" s="35" t="n">
        <x:v>1480</x:v>
      </x:c>
      <x:c r="N26" t="str"/>
      <x:c r="O26" t="str"/>
    </x:row>
    <x:row r="27">
      <x:c r="A27" t="str">
        <x:v>R-26083</x:v>
      </x:c>
      <x:c r="B27" t="str">
        <x:v>C-1026</x:v>
      </x:c>
      <x:c r="C27" t="str">
        <x:v>Bloomline: Night Market</x:v>
      </x:c>
      <x:c r="D27" t="str">
        <x:v>The Atrium</x:v>
      </x:c>
      <x:c r="E27" t="str">
        <x:v>New York</x:v>
      </x:c>
      <x:c r="F27" t="str">
        <x:v>NY</x:v>
      </x:c>
      <x:c r="G27" s="36" t="n">
        <x:v>46256</x:v>
      </x:c>
      <x:c r="H27" s="36" t="n">
        <x:v>46257</x:v>
      </x:c>
      <x:c r="I27" t="str">
        <x:v>Returned</x:v>
      </x:c>
      <x:c r="J27" t="str">
        <x:v>M. Lin</x:v>
      </x:c>
      <x:c r="K27" t="str">
        <x:v>Delivery</x:v>
      </x:c>
      <x:c r="L27" s="35" t="n">
        <x:v>5860</x:v>
      </x:c>
      <x:c r="M27" s="35" t="n">
        <x:v>2900</x:v>
      </x:c>
      <x:c r="N27" t="str">
        <x:v>BL-998</x:v>
      </x:c>
      <x:c r="O27" t="str">
        <x:v>Some items billed under activation fee</x:v>
      </x:c>
    </x:row>
    <x:row r="28">
      <x:c r="A28" t="str">
        <x:v>R-26084</x:v>
      </x:c>
      <x:c r="B28" t="str">
        <x:v>C-1023</x:v>
      </x:c>
      <x:c r="C28" t="str">
        <x:v>Prism Valley Campout</x:v>
      </x:c>
      <x:c r="D28" t="str">
        <x:v>Prism Field</x:v>
      </x:c>
      <x:c r="E28" t="str">
        <x:v>Kingston</x:v>
      </x:c>
      <x:c r="F28" t="str">
        <x:v>NY</x:v>
      </x:c>
      <x:c r="G28" s="36" t="n">
        <x:v>46262</x:v>
      </x:c>
      <x:c r="H28" s="36" t="n">
        <x:v>46265</x:v>
      </x:c>
      <x:c r="I28" t="str">
        <x:v>Out on Rent</x:v>
      </x:c>
      <x:c r="J28" t="str">
        <x:v>J. Holt</x:v>
      </x:c>
      <x:c r="K28" t="str">
        <x:v>Delivery</x:v>
      </x:c>
      <x:c r="L28" s="35" t="n">
        <x:v>18240</x:v>
      </x:c>
      <x:c r="M28" s="35" t="n">
        <x:v>9000</x:v>
      </x:c>
      <x:c r="N28" t="str">
        <x:v>PV-2026</x:v>
      </x:c>
      <x:c r="O28" t="str">
        <x:v>Return booked for Sep 1; inventory may still be in transit</x:v>
      </x:c>
    </x:row>
    <x:row r="29">
      <x:c r="A29" t="str">
        <x:v>R-26085</x:v>
      </x:c>
      <x:c r="B29" t="str">
        <x:v>C-1018</x:v>
      </x:c>
      <x:c r="C29" t="str">
        <x:v>Bassline Assembly: Backroom</x:v>
      </x:c>
      <x:c r="D29" t="str">
        <x:v>The Terminal</x:v>
      </x:c>
      <x:c r="E29" t="str">
        <x:v>Hoboken</x:v>
      </x:c>
      <x:c r="F29" t="str">
        <x:v>NJ</x:v>
      </x:c>
      <x:c r="G29" s="36" t="n">
        <x:v>46263</x:v>
      </x:c>
      <x:c r="H29" s="36" t="n">
        <x:v>46264</x:v>
      </x:c>
      <x:c r="I29" t="str">
        <x:v>Out on Rent</x:v>
      </x:c>
      <x:c r="J29" t="str">
        <x:v>M. Lin</x:v>
      </x:c>
      <x:c r="K29" t="str">
        <x:v>Delivery</x:v>
      </x:c>
      <x:c r="L29" s="35" t="n">
        <x:v>5280</x:v>
      </x:c>
      <x:c r="M29" s="35" t="n">
        <x:v>2600</x:v>
      </x:c>
      <x:c r="N29" t="str">
        <x:v>BA-829</x:v>
      </x:c>
      <x:c r="O29" t="str">
        <x:v>Late add: 2 transmitter channels</x:v>
      </x:c>
    </x:row>
    <x:row r="30">
      <x:c r="A30" t="str">
        <x:v>R-26086</x:v>
      </x:c>
      <x:c r="B30" t="str">
        <x:v>C-1002</x:v>
      </x:c>
      <x:c r="C30" t="str">
        <x:v>Kestrel: September Opening</x:v>
      </x:c>
      <x:c r="D30" t="str">
        <x:v>Harbor Warehouse</x:v>
      </x:c>
      <x:c r="E30" t="str">
        <x:v>Queens</x:v>
      </x:c>
      <x:c r="F30" t="str">
        <x:v>NY</x:v>
      </x:c>
      <x:c r="G30" s="36" t="n">
        <x:v>46269</x:v>
      </x:c>
      <x:c r="H30" s="36" t="n">
        <x:v>46270</x:v>
      </x:c>
      <x:c r="I30" t="str">
        <x:v>Confirmed</x:v>
      </x:c>
      <x:c r="J30" t="str">
        <x:v>J. Holt</x:v>
      </x:c>
      <x:c r="K30" t="str">
        <x:v>Delivery</x:v>
      </x:c>
      <x:c r="L30" s="35" t="n">
        <x:v>6120</x:v>
      </x:c>
      <x:c r="M30" s="35" t="n">
        <x:v>3000</x:v>
      </x:c>
      <x:c r="N30" t="str">
        <x:v>KA-904</x:v>
      </x:c>
      <x:c r="O30" t="str"/>
    </x:row>
    <x:row r="31">
      <x:c r="A31" t="str">
        <x:v>R-26087</x:v>
      </x:c>
      <x:c r="B31" t="str">
        <x:v>C-1005</x:v>
      </x:c>
      <x:c r="C31" t="str">
        <x:v>Lumen Lot: Equinox</x:v>
      </x:c>
      <x:c r="D31" t="str">
        <x:v>Lumen Lot</x:v>
      </x:c>
      <x:c r="E31" t="str">
        <x:v>Jersey City</x:v>
      </x:c>
      <x:c r="F31" t="str">
        <x:v>NJ</x:v>
      </x:c>
      <x:c r="G31" s="36" t="n">
        <x:v>46270</x:v>
      </x:c>
      <x:c r="H31" s="36" t="n">
        <x:v>46272</x:v>
      </x:c>
      <x:c r="I31" t="str">
        <x:v>Confirmed</x:v>
      </x:c>
      <x:c r="J31" t="str">
        <x:v>M. Lin</x:v>
      </x:c>
      <x:c r="K31" t="str">
        <x:v>Delivery</x:v>
      </x:c>
      <x:c r="L31" s="35" t="n">
        <x:v>16800</x:v>
      </x:c>
      <x:c r="M31" s="35" t="n">
        <x:v>8000</x:v>
      </x:c>
      <x:c r="N31" t="str">
        <x:v>LL-209</x:v>
      </x:c>
      <x:c r="O31" t="str">
        <x:v>Large headset package</x:v>
      </x:c>
    </x:row>
    <x:row r="32">
      <x:c r="A32" t="str">
        <x:v>R-26088</x:v>
      </x:c>
      <x:c r="B32" t="str">
        <x:v>C-1012</x:v>
      </x:c>
      <x:c r="C32" t="str">
        <x:v>Static Bloom: Loft</x:v>
      </x:c>
      <x:c r="D32" t="str">
        <x:v>Northline Loft</x:v>
      </x:c>
      <x:c r="E32" t="str">
        <x:v>Philadelphia</x:v>
      </x:c>
      <x:c r="F32" t="str">
        <x:v>PA</x:v>
      </x:c>
      <x:c r="G32" s="36" t="n">
        <x:v>46271</x:v>
      </x:c>
      <x:c r="H32" s="36" t="n">
        <x:v>46271</x:v>
      </x:c>
      <x:c r="I32" t="str">
        <x:v>Tentative</x:v>
      </x:c>
      <x:c r="J32" t="str">
        <x:v>J. Holt</x:v>
      </x:c>
      <x:c r="K32" t="str">
        <x:v>Customer Pickup</x:v>
      </x:c>
      <x:c r="L32" s="35" t="n">
        <x:v>980</x:v>
      </x:c>
      <x:c r="M32" s="35" t="n">
        <x:v>0</x:v>
      </x:c>
      <x:c r="N32" t="str"/>
      <x:c r="O32" t="str">
        <x:v>Client said “likely” by phone</x:v>
      </x:c>
    </x:row>
    <x:row r="33">
      <x:c r="A33" t="str">
        <x:v>R-26089</x:v>
      </x:c>
      <x:c r="B33" t="str">
        <x:v>C-1016</x:v>
      </x:c>
      <x:c r="C33" t="str">
        <x:v>Half-Step: Client Party</x:v>
      </x:c>
      <x:c r="D33" t="str">
        <x:v>Studio 311</x:v>
      </x:c>
      <x:c r="E33" t="str">
        <x:v>New York</x:v>
      </x:c>
      <x:c r="F33" t="str">
        <x:v>NY</x:v>
      </x:c>
      <x:c r="G33" s="36" t="n">
        <x:v>46276</x:v>
      </x:c>
      <x:c r="H33" s="36" t="n">
        <x:v>46277</x:v>
      </x:c>
      <x:c r="I33" t="str">
        <x:v>Confirmed</x:v>
      </x:c>
      <x:c r="J33" t="str">
        <x:v>M. Lin</x:v>
      </x:c>
      <x:c r="K33" t="str">
        <x:v>Delivery</x:v>
      </x:c>
      <x:c r="L33" s="35" t="n">
        <x:v>7320</x:v>
      </x:c>
      <x:c r="M33" s="35" t="n">
        <x:v>3500</x:v>
      </x:c>
      <x:c r="N33" t="str">
        <x:v>HS-311</x:v>
      </x:c>
      <x:c r="O33" t="str"/>
    </x:row>
    <x:row r="34">
      <x:c r="A34" t="str">
        <x:v>R-26090</x:v>
      </x:c>
      <x:c r="B34" t="str">
        <x:v>C-1029</x:v>
      </x:c>
      <x:c r="C34" t="str">
        <x:v>Mirage Market: Nocturne</x:v>
      </x:c>
      <x:c r="D34" t="str">
        <x:v>Pier 6 Market</x:v>
      </x:c>
      <x:c r="E34" t="str">
        <x:v>New York</x:v>
      </x:c>
      <x:c r="F34" t="str">
        <x:v>NY</x:v>
      </x:c>
      <x:c r="G34" s="36" t="n">
        <x:v>46277</x:v>
      </x:c>
      <x:c r="H34" s="36" t="n">
        <x:v>46278</x:v>
      </x:c>
      <x:c r="I34" t="str">
        <x:v>Tentative</x:v>
      </x:c>
      <x:c r="J34" t="str">
        <x:v>J. Holt</x:v>
      </x:c>
      <x:c r="K34" t="str">
        <x:v>Delivery</x:v>
      </x:c>
      <x:c r="L34" s="35" t="n">
        <x:v>4180</x:v>
      </x:c>
      <x:c r="M34" s="35" t="n">
        <x:v>0</x:v>
      </x:c>
      <x:c r="N34" t="str"/>
      <x:c r="O34" t="str">
        <x:v>No signed quote yet</x:v>
      </x:c>
    </x:row>
    <x:row r="35">
      <x:c r="A35" t="str">
        <x:v>R-26091</x:v>
      </x:c>
      <x:c r="B35" t="str">
        <x:v>C-1007</x:v>
      </x:c>
      <x:c r="C35" t="str">
        <x:v>Submerge: September Session</x:v>
      </x:c>
      <x:c r="D35" t="str">
        <x:v>Submerge Social Club</x:v>
      </x:c>
      <x:c r="E35" t="str">
        <x:v>Washington</x:v>
      </x:c>
      <x:c r="F35" t="str">
        <x:v>DC</x:v>
      </x:c>
      <x:c r="G35" s="36" t="n">
        <x:v>46277</x:v>
      </x:c>
      <x:c r="H35" s="36" t="n">
        <x:v>46278</x:v>
      </x:c>
      <x:c r="I35" t="str">
        <x:v>Confirmed</x:v>
      </x:c>
      <x:c r="J35" t="str">
        <x:v>M. Lin</x:v>
      </x:c>
      <x:c r="K35" t="str">
        <x:v>Delivery</x:v>
      </x:c>
      <x:c r="L35" s="35" t="n">
        <x:v>5980</x:v>
      </x:c>
      <x:c r="M35" s="35" t="n">
        <x:v>3000</x:v>
      </x:c>
      <x:c r="N35" t="str">
        <x:v>SSC-912</x:v>
      </x:c>
      <x:c r="O35" t="str">
        <x:v>Basement stairs — extra labor</x:v>
      </x:c>
    </x:row>
    <x:row r="36">
      <x:c r="A36" t="str">
        <x:v>R-26092</x:v>
      </x:c>
      <x:c r="B36" t="str">
        <x:v>C-1030</x:v>
      </x:c>
      <x:c r="C36" t="str">
        <x:v>Mothlight Installation</x:v>
      </x:c>
      <x:c r="D36" t="str">
        <x:v>Mothlight Studio</x:v>
      </x:c>
      <x:c r="E36" t="str">
        <x:v>Brooklyn</x:v>
      </x:c>
      <x:c r="F36" t="str">
        <x:v>NY</x:v>
      </x:c>
      <x:c r="G36" s="36" t="n">
        <x:v>46283</x:v>
      </x:c>
      <x:c r="H36" s="36" t="n">
        <x:v>46286</x:v>
      </x:c>
      <x:c r="I36" t="str">
        <x:v>Confirmed</x:v>
      </x:c>
      <x:c r="J36" t="str">
        <x:v>J. Holt</x:v>
      </x:c>
      <x:c r="K36" t="str">
        <x:v>Delivery</x:v>
      </x:c>
      <x:c r="L36" s="35" t="n">
        <x:v>12760</x:v>
      </x:c>
      <x:c r="M36" s="35" t="n">
        <x:v>6000</x:v>
      </x:c>
      <x:c r="N36" t="str">
        <x:v>ML-921</x:v>
      </x:c>
      <x:c r="O36" t="str">
        <x:v>Video wall custom layout</x:v>
      </x:c>
    </x:row>
    <x:row r="37">
      <x:c r="A37" t="str">
        <x:v>R-26093</x:v>
      </x:c>
      <x:c r="B37" t="str">
        <x:v>C-1011</x:v>
      </x:c>
      <x:c r="C37" t="str">
        <x:v>BPM Society: Fall Welcome</x:v>
      </x:c>
      <x:c r="D37" t="str">
        <x:v>Northside Hall</x:v>
      </x:c>
      <x:c r="E37" t="str">
        <x:v>New Haven</x:v>
      </x:c>
      <x:c r="F37" t="str">
        <x:v>CT</x:v>
      </x:c>
      <x:c r="G37" s="36" t="n">
        <x:v>46284</x:v>
      </x:c>
      <x:c r="H37" s="36" t="n">
        <x:v>46285</x:v>
      </x:c>
      <x:c r="I37" t="str">
        <x:v>Tentative</x:v>
      </x:c>
      <x:c r="J37" t="str">
        <x:v>M. Lin</x:v>
      </x:c>
      <x:c r="K37" t="str">
        <x:v>Delivery</x:v>
      </x:c>
      <x:c r="L37" s="35" t="n">
        <x:v>5950</x:v>
      </x:c>
      <x:c r="M37" s="35" t="n">
        <x:v>0</x:v>
      </x:c>
      <x:c r="N37" t="str">
        <x:v>PO pending</x:v>
      </x:c>
      <x:c r="O37" t="str">
        <x:v>Requested hold through Sep 3</x:v>
      </x:c>
    </x:row>
    <x:row r="38">
      <x:c r="A38" t="str">
        <x:v>R-26094</x:v>
      </x:c>
      <x:c r="B38" t="str">
        <x:v>C-1010</x:v>
      </x:c>
      <x:c r="C38" t="str">
        <x:v>Raincheck: End of Summer</x:v>
      </x:c>
      <x:c r="D38" t="str">
        <x:v>South Boardwalk Lot</x:v>
      </x:c>
      <x:c r="E38" t="str">
        <x:v>Asbury Park</x:v>
      </x:c>
      <x:c r="F38" t="str">
        <x:v>NJ</x:v>
      </x:c>
      <x:c r="G38" s="36" t="n">
        <x:v>46284</x:v>
      </x:c>
      <x:c r="H38" s="36" t="n">
        <x:v>46286</x:v>
      </x:c>
      <x:c r="I38" t="str">
        <x:v>Confirmed</x:v>
      </x:c>
      <x:c r="J38" t="str">
        <x:v>J. Holt</x:v>
      </x:c>
      <x:c r="K38" t="str">
        <x:v>Delivery</x:v>
      </x:c>
      <x:c r="L38" s="35" t="n">
        <x:v>10420</x:v>
      </x:c>
      <x:c r="M38" s="35" t="n">
        <x:v>5000</x:v>
      </x:c>
      <x:c r="N38" t="str">
        <x:v>RR-919</x:v>
      </x:c>
      <x:c r="O38" t="str">
        <x:v>Weather contingency</x:v>
      </x:c>
    </x:row>
    <x:row r="39">
      <x:c r="A39" t="str">
        <x:v>R-26095</x:v>
      </x:c>
      <x:c r="B39" t="str">
        <x:v>C-1001</x:v>
      </x:c>
      <x:c r="C39" t="str">
        <x:v>Pulse Junction: Open Air</x:v>
      </x:c>
      <x:c r="D39" t="str">
        <x:v>Eastpoint Lot</x:v>
      </x:c>
      <x:c r="E39" t="str">
        <x:v>Brooklyn</x:v>
      </x:c>
      <x:c r="F39" t="str">
        <x:v>NY</x:v>
      </x:c>
      <x:c r="G39" s="36" t="n">
        <x:v>46290</x:v>
      </x:c>
      <x:c r="H39" s="36" t="n">
        <x:v>46292</x:v>
      </x:c>
      <x:c r="I39" t="str">
        <x:v>Tentative</x:v>
      </x:c>
      <x:c r="J39" t="str">
        <x:v>M. Lin</x:v>
      </x:c>
      <x:c r="K39" t="str">
        <x:v>Delivery</x:v>
      </x:c>
      <x:c r="L39" s="35" t="n">
        <x:v>18900</x:v>
      </x:c>
      <x:c r="M39" s="35" t="n">
        <x:v>0</x:v>
      </x:c>
      <x:c r="N39" t="str"/>
      <x:c r="O39" t="str">
        <x:v>Deposit link sent; high headset demand</x:v>
      </x:c>
    </x:row>
    <x:row r="40">
      <x:c r="A40" t="str">
        <x:v>R-26096</x:v>
      </x:c>
      <x:c r="B40" t="str">
        <x:v>C-1003</x:v>
      </x:c>
      <x:c r="C40" t="str">
        <x:v>Orbit Room: Label Showcase</x:v>
      </x:c>
      <x:c r="D40" t="str">
        <x:v>The Orbit Room</x:v>
      </x:c>
      <x:c r="E40" t="str">
        <x:v>Philadelphia</x:v>
      </x:c>
      <x:c r="F40" t="str">
        <x:v>PA</x:v>
      </x:c>
      <x:c r="G40" s="36" t="n">
        <x:v>46291</x:v>
      </x:c>
      <x:c r="H40" s="36" t="n">
        <x:v>46292</x:v>
      </x:c>
      <x:c r="I40" t="str">
        <x:v>Confirmed</x:v>
      </x:c>
      <x:c r="J40" t="str">
        <x:v>J. Holt</x:v>
      </x:c>
      <x:c r="K40" t="str">
        <x:v>Delivery</x:v>
      </x:c>
      <x:c r="L40" s="35" t="n">
        <x:v>4720</x:v>
      </x:c>
      <x:c r="M40" s="35" t="n">
        <x:v>2200</x:v>
      </x:c>
      <x:c r="N40" t="str">
        <x:v>OR-927</x:v>
      </x:c>
      <x:c r="O40" t="str"/>
    </x:row>
    <x:row r="41">
      <x:c r="A41" t="str">
        <x:v>R-26097</x:v>
      </x:c>
      <x:c r="B41" t="str">
        <x:v>C-1008</x:v>
      </x:c>
      <x:c r="C41" t="str">
        <x:v>Mosaic House: Closing</x:v>
      </x:c>
      <x:c r="D41" t="str">
        <x:v>Mosaic House</x:v>
      </x:c>
      <x:c r="E41" t="str">
        <x:v>Newark</x:v>
      </x:c>
      <x:c r="F41" t="str">
        <x:v>NJ</x:v>
      </x:c>
      <x:c r="G41" s="36" t="n">
        <x:v>46297</x:v>
      </x:c>
      <x:c r="H41" s="36" t="n">
        <x:v>46298</x:v>
      </x:c>
      <x:c r="I41" t="str">
        <x:v>Canceled</x:v>
      </x:c>
      <x:c r="J41" t="str">
        <x:v>M. Lin</x:v>
      </x:c>
      <x:c r="K41" t="str">
        <x:v>Delivery</x:v>
      </x:c>
      <x:c r="L41" s="35" t="n">
        <x:v>2460</x:v>
      </x:c>
      <x:c r="M41" s="35" t="n">
        <x:v>0</x:v>
      </x:c>
      <x:c r="N41" t="str"/>
      <x:c r="O41" t="str">
        <x:v>Canceled Aug 29 but pick list remains</x:v>
      </x:c>
    </x:row>
    <x:row r="42">
      <x:c r="A42" t="str">
        <x:v>R-26098</x:v>
      </x:c>
      <x:c r="B42" t="str">
        <x:v>C-1017</x:v>
      </x:c>
      <x:c r="C42" t="str">
        <x:v>East River Arts: Light Walk</x:v>
      </x:c>
      <x:c r="D42" t="str">
        <x:v>Riverside Plaza</x:v>
      </x:c>
      <x:c r="E42" t="str">
        <x:v>New York</x:v>
      </x:c>
      <x:c r="F42" t="str">
        <x:v>NY</x:v>
      </x:c>
      <x:c r="G42" s="36" t="n">
        <x:v>46298</x:v>
      </x:c>
      <x:c r="H42" s="36" t="n">
        <x:v>46300</x:v>
      </x:c>
      <x:c r="I42" t="str">
        <x:v>Tentative</x:v>
      </x:c>
      <x:c r="J42" t="str">
        <x:v>J. Holt</x:v>
      </x:c>
      <x:c r="K42" t="str">
        <x:v>Delivery</x:v>
      </x:c>
      <x:c r="L42" s="35" t="n">
        <x:v>9200</x:v>
      </x:c>
      <x:c r="M42" s="35" t="n">
        <x:v>0</x:v>
      </x:c>
      <x:c r="N42" t="str"/>
      <x:c r="O42" t="str">
        <x:v>Permit not approved</x:v>
      </x:c>
    </x:row>
    <x:row r="43">
      <x:c r="A43" t="str">
        <x:v>R-26099</x:v>
      </x:c>
      <x:c r="B43" t="str">
        <x:v>C-1020</x:v>
      </x:c>
      <x:c r="C43" t="str">
        <x:v>Afterimage: Product Reveal</x:v>
      </x:c>
      <x:c r="D43" t="str">
        <x:v>Westline Gallery</x:v>
      </x:c>
      <x:c r="E43" t="str">
        <x:v>New York</x:v>
      </x:c>
      <x:c r="F43" t="str">
        <x:v>NY</x:v>
      </x:c>
      <x:c r="G43" s="36" t="n">
        <x:v>46304</x:v>
      </x:c>
      <x:c r="H43" s="36" t="n">
        <x:v>46305</x:v>
      </x:c>
      <x:c r="I43" t="str">
        <x:v>Confirmed</x:v>
      </x:c>
      <x:c r="J43" t="str">
        <x:v>M. Lin</x:v>
      </x:c>
      <x:c r="K43" t="str">
        <x:v>Delivery</x:v>
      </x:c>
      <x:c r="L43" s="35" t="n">
        <x:v>8370</x:v>
      </x:c>
      <x:c r="M43" s="35" t="n">
        <x:v>4000</x:v>
      </x:c>
      <x:c r="N43" t="str">
        <x:v>AIP-510</x:v>
      </x:c>
      <x:c r="O43" t="str">
        <x:v>Silent disco breakout</x:v>
      </x:c>
    </x:row>
    <x:row r="44">
      <x:c r="A44" t="str">
        <x:v>R-26100</x:v>
      </x:c>
      <x:c r="B44" t="str">
        <x:v>C-1021</x:v>
      </x:c>
      <x:c r="C44" t="str">
        <x:v>Blue Hour: Harvest</x:v>
      </x:c>
      <x:c r="D44" t="str">
        <x:v>Long Dock Lawn</x:v>
      </x:c>
      <x:c r="E44" t="str">
        <x:v>Beacon</x:v>
      </x:c>
      <x:c r="F44" t="str">
        <x:v>NY</x:v>
      </x:c>
      <x:c r="G44" s="36" t="n">
        <x:v>46305</x:v>
      </x:c>
      <x:c r="H44" s="36" t="n">
        <x:v>46306</x:v>
      </x:c>
      <x:c r="I44" t="str">
        <x:v>Tentative</x:v>
      </x:c>
      <x:c r="J44" t="str">
        <x:v>J. Holt</x:v>
      </x:c>
      <x:c r="K44" t="str">
        <x:v>Delivery</x:v>
      </x:c>
      <x:c r="L44" s="35" t="n">
        <x:v>3380</x:v>
      </x:c>
      <x:c r="M44" s="35" t="n">
        <x:v>0</x:v>
      </x:c>
      <x:c r="N44" t="str"/>
      <x:c r="O44" t="str"/>
    </x:row>
    <x:row r="45">
      <x:c r="A45" t="str">
        <x:v>R-26101</x:v>
      </x:c>
      <x:c r="B45" t="str">
        <x:v>C-1028</x:v>
      </x:c>
      <x:c r="C45" t="str">
        <x:v>Tidepool: Listening Room</x:v>
      </x:c>
      <x:c r="D45" t="str">
        <x:v>Tidepool Studio</x:v>
      </x:c>
      <x:c r="E45" t="str">
        <x:v>Newark</x:v>
      </x:c>
      <x:c r="F45" t="str">
        <x:v>NJ</x:v>
      </x:c>
      <x:c r="G45" s="36" t="n">
        <x:v>46311</x:v>
      </x:c>
      <x:c r="H45" s="36" t="n">
        <x:v>46312</x:v>
      </x:c>
      <x:c r="I45" t="str">
        <x:v>Confirmed</x:v>
      </x:c>
      <x:c r="J45" t="str">
        <x:v>M. Lin</x:v>
      </x:c>
      <x:c r="K45" t="str">
        <x:v>Customer Pickup</x:v>
      </x:c>
      <x:c r="L45" s="35" t="n">
        <x:v>2150</x:v>
      </x:c>
      <x:c r="M45" s="35" t="n">
        <x:v>1000</x:v>
      </x:c>
      <x:c r="N45" t="str">
        <x:v>TSL-16</x:v>
      </x:c>
      <x:c r="O45" t="str"/>
    </x:row>
    <x:row r="46">
      <x:c r="A46" t="str">
        <x:v>R-26102</x:v>
      </x:c>
      <x:c r="B46" t="str">
        <x:v>C-1009</x:v>
      </x:c>
      <x:c r="C46" t="str">
        <x:v>Dawn Circuit: Warehouse</x:v>
      </x:c>
      <x:c r="D46" t="str">
        <x:v>Foundry 12</x:v>
      </x:c>
      <x:c r="E46" t="str">
        <x:v>Boston</x:v>
      </x:c>
      <x:c r="F46" t="str">
        <x:v>MA</x:v>
      </x:c>
      <x:c r="G46" s="36" t="n">
        <x:v>46312</x:v>
      </x:c>
      <x:c r="H46" s="36" t="n">
        <x:v>46313</x:v>
      </x:c>
      <x:c r="I46" t="str">
        <x:v>Tentative</x:v>
      </x:c>
      <x:c r="J46" t="str">
        <x:v>J. Holt</x:v>
      </x:c>
      <x:c r="K46" t="str">
        <x:v>Delivery</x:v>
      </x:c>
      <x:c r="L46" s="35" t="n">
        <x:v>9680</x:v>
      </x:c>
      <x:c r="M46" s="35" t="n">
        <x:v>0</x:v>
      </x:c>
      <x:c r="N46" t="str"/>
      <x:c r="O46" t="str">
        <x:v>Needs truck quote</x:v>
      </x:c>
    </x:row>
    <x:row r="47">
      <x:c r="A47" t="str">
        <x:v>R-26103</x:v>
      </x:c>
      <x:c r="B47" t="str">
        <x:v>C-1023</x:v>
      </x:c>
      <x:c r="C47" t="str">
        <x:v>Prism Valley: Autumn</x:v>
      </x:c>
      <x:c r="D47" t="str">
        <x:v>Prism Field</x:v>
      </x:c>
      <x:c r="E47" t="str">
        <x:v>Kingston</x:v>
      </x:c>
      <x:c r="F47" t="str">
        <x:v>NY</x:v>
      </x:c>
      <x:c r="G47" s="36" t="n">
        <x:v>46318</x:v>
      </x:c>
      <x:c r="H47" s="36" t="n">
        <x:v>46320</x:v>
      </x:c>
      <x:c r="I47" t="str">
        <x:v>Tentative</x:v>
      </x:c>
      <x:c r="J47" t="str">
        <x:v>M. Lin</x:v>
      </x:c>
      <x:c r="K47" t="str">
        <x:v>Delivery</x:v>
      </x:c>
      <x:c r="L47" s="35" t="n">
        <x:v>14700</x:v>
      </x:c>
      <x:c r="M47" s="35" t="n">
        <x:v>0</x:v>
      </x:c>
      <x:c r="N47" t="str"/>
      <x:c r="O47" t="str"/>
    </x:row>
    <x:row r="48">
      <x:c r="A48" t="str">
        <x:v>R-26104</x:v>
      </x:c>
      <x:c r="B48" t="str">
        <x:v>C-1014</x:v>
      </x:c>
      <x:c r="C48" t="str">
        <x:v>Velvet Rail: Halloween</x:v>
      </x:c>
      <x:c r="D48" t="str">
        <x:v>Velvet Rail</x:v>
      </x:c>
      <x:c r="E48" t="str">
        <x:v>Brooklyn</x:v>
      </x:c>
      <x:c r="F48" t="str">
        <x:v>NY</x:v>
      </x:c>
      <x:c r="G48" s="36" t="n">
        <x:v>46325</x:v>
      </x:c>
      <x:c r="H48" s="36" t="n">
        <x:v>46326</x:v>
      </x:c>
      <x:c r="I48" t="str">
        <x:v>Confirmed</x:v>
      </x:c>
      <x:c r="J48" t="str">
        <x:v>J. Holt</x:v>
      </x:c>
      <x:c r="K48" t="str">
        <x:v>Customer Pickup</x:v>
      </x:c>
      <x:c r="L48" s="35" t="n">
        <x:v>3840</x:v>
      </x:c>
      <x:c r="M48" s="35" t="n">
        <x:v>1800</x:v>
      </x:c>
      <x:c r="N48" t="str">
        <x:v>VR-1030</x:v>
      </x:c>
      <x:c r="O48" t="str"/>
    </x:row>
  </x:sheetData>
  <x:mergeCells>
    <x:mergeCell ref="A1:N1"/>
    <x:mergeCell ref="A2:N2"/>
  </x:mergeCells>
  <x:conditionalFormatting sqref="I5:I48">
    <x:cfRule type="containsText" dxfId="1" priority="1" operator="containsText" text="Canceled"/>
    <x:cfRule type="containsText" dxfId="2" priority="2" operator="containsText" text="Tentative"/>
  </x:conditionalFormatting>
  <x:pageMargins left="0.7" right="0.7" top="0.75" bottom="0.75" header="0.3" footer="0.3"/>
  <x:tableParts count="1">
    <x:tablePart xmlns:r="http://schemas.openxmlformats.org/officeDocument/2006/relationships" r:id="Ra23622e26d144c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4" hidden="0" customWidth="1"/>
    <x:col min="5" max="5" width="15" hidden="0" customWidth="1"/>
    <x:col min="6" max="6" width="12" hidden="0" customWidth="1"/>
    <x:col min="7" max="7" width="12" hidden="0" customWidth="1"/>
    <x:col min="8" max="8" width="11" hidden="0" customWidth="1"/>
    <x:col min="9" max="9" width="14" hidden="0" customWidth="1"/>
    <x:col min="10" max="10" width="14" hidden="0" customWidth="1"/>
    <x:col min="11" max="11" width="37" hidden="0" customWidth="1"/>
  </x:cols>
  <x:sheetData>
    <x:row r="1" ht="28" customHeight="1">
      <x:c r="A1" s="4" t="str">
        <x:v>Rental Line Items</x:v>
      </x:c>
    </x:row>
    <x:row r="2" ht="24" customHeight="1">
      <x:c r="A2" s="7" t="str">
        <x:v>Equipment requested per job. Quantities are source data for manual availability checks; some lines are unfinished or never removed.</x:v>
      </x:c>
    </x:row>
    <x:row r="4">
      <x:c r="A4" s="28" t="str">
        <x:v>Line ID</x:v>
      </x:c>
      <x:c r="B4" s="33" t="str">
        <x:v>Rental ID</x:v>
      </x:c>
      <x:c r="C4" s="33" t="str">
        <x:v>Item ID</x:v>
      </x:c>
      <x:c r="D4" s="33" t="str">
        <x:v>Item Name (typed)</x:v>
      </x:c>
      <x:c r="E4" s="33" t="str">
        <x:v>Qty Requested</x:v>
      </x:c>
      <x:c r="F4" s="33" t="str">
        <x:v>Qty Picked</x:v>
      </x:c>
      <x:c r="G4" s="33" t="str">
        <x:v>Daily Rate</x:v>
      </x:c>
      <x:c r="H4" s="33" t="str">
        <x:v>Line Days</x:v>
      </x:c>
      <x:c r="I4" s="33" t="str">
        <x:v>Line Total</x:v>
      </x:c>
      <x:c r="J4" s="33" t="str">
        <x:v>Pick Status</x:v>
      </x:c>
      <x:c r="K4" s="29" t="str">
        <x:v>Warehouse Notes</x:v>
      </x:c>
    </x:row>
    <x:row r="5">
      <x:c r="A5" t="str">
        <x:v>LI-0001</x:v>
      </x:c>
      <x:c r="B5" t="str">
        <x:v>R-26061</x:v>
      </x:c>
      <x:c r="C5" t="str">
        <x:v>NC-AU-001</x:v>
      </x:c>
      <x:c r="D5" t="str">
        <x:v>12-inch powered speaker</x:v>
      </x:c>
      <x:c r="E5" t="n">
        <x:v>4</x:v>
      </x:c>
      <x:c r="F5" t="n">
        <x:v>4</x:v>
      </x:c>
      <x:c r="G5" s="35" t="n">
        <x:v>68</x:v>
      </x:c>
      <x:c r="H5" s="35" t="n">
        <x:v>2</x:v>
      </x:c>
      <x:c r="I5" s="35" t="n">
        <x:f>E5*G5*H5</x:f>
        <x:v>544</x:v>
      </x:c>
      <x:c r="J5" t="str">
        <x:v>Returned</x:v>
      </x:c>
      <x:c r="K5" t="str"/>
    </x:row>
    <x:row r="6">
      <x:c r="A6" t="str">
        <x:v>LI-0002</x:v>
      </x:c>
      <x:c r="B6" t="str">
        <x:v>R-26061</x:v>
      </x:c>
      <x:c r="C6" t="str">
        <x:v>NC-AU-004</x:v>
      </x:c>
      <x:c r="D6" t="str">
        <x:v>DJ mixer, 4-channel</x:v>
      </x:c>
      <x:c r="E6" t="n">
        <x:v>1</x:v>
      </x:c>
      <x:c r="F6" t="n">
        <x:v>1</x:v>
      </x:c>
      <x:c r="G6" s="35" t="n">
        <x:v>145</x:v>
      </x:c>
      <x:c r="H6" s="35" t="n">
        <x:v>2</x:v>
      </x:c>
      <x:c r="I6" s="35" t="n">
        <x:f>E6*G6*H6</x:f>
        <x:v>290</x:v>
      </x:c>
      <x:c r="J6" t="str">
        <x:v>Returned</x:v>
      </x:c>
      <x:c r="K6" t="str"/>
    </x:row>
    <x:row r="7">
      <x:c r="A7" t="str">
        <x:v>LI-0003</x:v>
      </x:c>
      <x:c r="B7" t="str">
        <x:v>R-26062</x:v>
      </x:c>
      <x:c r="C7" t="str">
        <x:v>NC-SD-001</x:v>
      </x:c>
      <x:c r="D7" t="str">
        <x:v>Silent-disco headphones, 3-channel</x:v>
      </x:c>
      <x:c r="E7" t="n">
        <x:v>280</x:v>
      </x:c>
      <x:c r="F7" t="n">
        <x:v>280</x:v>
      </x:c>
      <x:c r="G7" s="35" t="n">
        <x:v>12</x:v>
      </x:c>
      <x:c r="H7" s="35" t="n">
        <x:v>3</x:v>
      </x:c>
      <x:c r="I7" s="35" t="n">
        <x:f>E7*G7*H7</x:f>
        <x:v>10080</x:v>
      </x:c>
      <x:c r="J7" t="str">
        <x:v>Returned</x:v>
      </x:c>
      <x:c r="K7" t="str"/>
    </x:row>
    <x:row r="8">
      <x:c r="A8" t="str">
        <x:v>LI-0004</x:v>
      </x:c>
      <x:c r="B8" t="str">
        <x:v>R-26062</x:v>
      </x:c>
      <x:c r="C8" t="str">
        <x:v>NC-CH-001</x:v>
      </x:c>
      <x:c r="D8" t="str">
        <x:v>Headset charging stations</x:v>
      </x:c>
      <x:c r="E8" t="n">
        <x:v>6</x:v>
      </x:c>
      <x:c r="F8" t="n">
        <x:v>6</x:v>
      </x:c>
      <x:c r="G8" s="35" t="n">
        <x:v>45</x:v>
      </x:c>
      <x:c r="H8" s="35" t="n">
        <x:v>3</x:v>
      </x:c>
      <x:c r="I8" s="35" t="n">
        <x:f>E8*G8*H8</x:f>
        <x:v>810</x:v>
      </x:c>
      <x:c r="J8" t="str">
        <x:v>Returned</x:v>
      </x:c>
      <x:c r="K8" t="str"/>
    </x:row>
    <x:row r="9">
      <x:c r="A9" t="str">
        <x:v>LI-0005</x:v>
      </x:c>
      <x:c r="B9" t="str">
        <x:v>R-26062</x:v>
      </x:c>
      <x:c r="C9" t="str">
        <x:v>NC-OP-004</x:v>
      </x:c>
      <x:c r="D9" t="str">
        <x:v>Cable ramp, 5-channel</x:v>
      </x:c>
      <x:c r="E9" t="n">
        <x:v>12</x:v>
      </x:c>
      <x:c r="F9" t="n">
        <x:v>12</x:v>
      </x:c>
      <x:c r="G9" s="35" t="n">
        <x:v>14</x:v>
      </x:c>
      <x:c r="H9" s="35" t="n">
        <x:v>3</x:v>
      </x:c>
      <x:c r="I9" s="35" t="n">
        <x:f>E9*G9*H9</x:f>
        <x:v>504</x:v>
      </x:c>
      <x:c r="J9" t="str">
        <x:v>Returned</x:v>
      </x:c>
      <x:c r="K9" t="str"/>
    </x:row>
    <x:row r="10">
      <x:c r="A10" t="str">
        <x:v>LI-0006</x:v>
      </x:c>
      <x:c r="B10" t="str">
        <x:v>R-26063</x:v>
      </x:c>
      <x:c r="C10" t="str">
        <x:v>NC-SD-001</x:v>
      </x:c>
      <x:c r="D10" t="str">
        <x:v>Silent-disco headphones, 3-channel</x:v>
      </x:c>
      <x:c r="E10" t="n">
        <x:v>340</x:v>
      </x:c>
      <x:c r="F10" t="n">
        <x:v>340</x:v>
      </x:c>
      <x:c r="G10" s="35" t="n">
        <x:v>12</x:v>
      </x:c>
      <x:c r="H10" s="35" t="n">
        <x:v>2</x:v>
      </x:c>
      <x:c r="I10" s="35" t="n">
        <x:f>E10*G10*H10</x:f>
        <x:v>8160</x:v>
      </x:c>
      <x:c r="J10" t="str">
        <x:v>Returned</x:v>
      </x:c>
      <x:c r="K10" t="str"/>
    </x:row>
    <x:row r="11">
      <x:c r="A11" t="str">
        <x:v>LI-0007</x:v>
      </x:c>
      <x:c r="B11" t="str">
        <x:v>R-26063</x:v>
      </x:c>
      <x:c r="C11" t="str">
        <x:v>NC-SD-002</x:v>
      </x:c>
      <x:c r="D11" t="str">
        <x:v>3-channel transmitters</x:v>
      </x:c>
      <x:c r="E11" t="n">
        <x:v>3</x:v>
      </x:c>
      <x:c r="F11" t="n">
        <x:v>3</x:v>
      </x:c>
      <x:c r="G11" s="35" t="n">
        <x:v>85</x:v>
      </x:c>
      <x:c r="H11" s="35" t="n">
        <x:v>2</x:v>
      </x:c>
      <x:c r="I11" s="35" t="n">
        <x:f>E11*G11*H11</x:f>
        <x:v>510</x:v>
      </x:c>
      <x:c r="J11" t="str">
        <x:v>Returned</x:v>
      </x:c>
      <x:c r="K11" t="str"/>
    </x:row>
    <x:row r="12">
      <x:c r="A12" t="str">
        <x:v>LI-0008</x:v>
      </x:c>
      <x:c r="B12" t="str">
        <x:v>R-26064</x:v>
      </x:c>
      <x:c r="C12" t="str">
        <x:v>NC-SD-001</x:v>
      </x:c>
      <x:c r="D12" t="str">
        <x:v>Silent-disco headphones, 3-channel</x:v>
      </x:c>
      <x:c r="E12" t="n">
        <x:v>420</x:v>
      </x:c>
      <x:c r="F12" t="n">
        <x:v>420</x:v>
      </x:c>
      <x:c r="G12" s="35" t="n">
        <x:v>12</x:v>
      </x:c>
      <x:c r="H12" s="35" t="n">
        <x:v>3</x:v>
      </x:c>
      <x:c r="I12" s="35" t="n">
        <x:f>E12*G12*H12</x:f>
        <x:v>15120</x:v>
      </x:c>
      <x:c r="J12" t="str">
        <x:v>Returned</x:v>
      </x:c>
      <x:c r="K12" t="str"/>
    </x:row>
    <x:row r="13">
      <x:c r="A13" t="str">
        <x:v>LI-0009</x:v>
      </x:c>
      <x:c r="B13" t="str">
        <x:v>R-26064</x:v>
      </x:c>
      <x:c r="C13" t="str">
        <x:v>NC-CH-001</x:v>
      </x:c>
      <x:c r="D13" t="str">
        <x:v>Headset charging stations</x:v>
      </x:c>
      <x:c r="E13" t="n">
        <x:v>9</x:v>
      </x:c>
      <x:c r="F13" t="n">
        <x:v>9</x:v>
      </x:c>
      <x:c r="G13" s="35" t="n">
        <x:v>45</x:v>
      </x:c>
      <x:c r="H13" s="35" t="n">
        <x:v>3</x:v>
      </x:c>
      <x:c r="I13" s="35" t="n">
        <x:f>E13*G13*H13</x:f>
        <x:v>1215</x:v>
      </x:c>
      <x:c r="J13" t="str">
        <x:v>Returned</x:v>
      </x:c>
      <x:c r="K13" t="str"/>
    </x:row>
    <x:row r="14">
      <x:c r="A14" t="str">
        <x:v>LI-0010</x:v>
      </x:c>
      <x:c r="B14" t="str">
        <x:v>R-26065</x:v>
      </x:c>
      <x:c r="C14" t="str">
        <x:v>NC-ST-001</x:v>
      </x:c>
      <x:c r="D14" t="str">
        <x:v>4 ft x 4 ft stage deck</x:v>
      </x:c>
      <x:c r="E14" t="n">
        <x:v>24</x:v>
      </x:c>
      <x:c r="F14" t="n">
        <x:v>24</x:v>
      </x:c>
      <x:c r="G14" s="35" t="n">
        <x:v>34</x:v>
      </x:c>
      <x:c r="H14" s="35" t="n">
        <x:v>3</x:v>
      </x:c>
      <x:c r="I14" s="35" t="n">
        <x:f>E14*G14*H14</x:f>
        <x:v>2448</x:v>
      </x:c>
      <x:c r="J14" t="str">
        <x:v>Returned</x:v>
      </x:c>
      <x:c r="K14" t="str"/>
    </x:row>
    <x:row r="15">
      <x:c r="A15" t="str">
        <x:v>LI-0011</x:v>
      </x:c>
      <x:c r="B15" t="str">
        <x:v>R-26065</x:v>
      </x:c>
      <x:c r="C15" t="str">
        <x:v>NC-OP-003</x:v>
      </x:c>
      <x:c r="D15" t="str">
        <x:v>Steel crowd-control barricade</x:v>
      </x:c>
      <x:c r="E15" t="n">
        <x:v>80</x:v>
      </x:c>
      <x:c r="F15" t="n">
        <x:v>80</x:v>
      </x:c>
      <x:c r="G15" s="35" t="n">
        <x:v>6</x:v>
      </x:c>
      <x:c r="H15" s="35" t="n">
        <x:v>3</x:v>
      </x:c>
      <x:c r="I15" s="35" t="n">
        <x:f>E15*G15*H15</x:f>
        <x:v>1440</x:v>
      </x:c>
      <x:c r="J15" t="str">
        <x:v>Returned</x:v>
      </x:c>
      <x:c r="K15" t="str"/>
    </x:row>
    <x:row r="16">
      <x:c r="A16" t="str">
        <x:v>LI-0012</x:v>
      </x:c>
      <x:c r="B16" t="str">
        <x:v>R-26066</x:v>
      </x:c>
      <x:c r="C16" t="str">
        <x:v>NC-AU-002</x:v>
      </x:c>
      <x:c r="D16" t="str">
        <x:v>18-inch powered subwoofer</x:v>
      </x:c>
      <x:c r="E16" t="n">
        <x:v>4</x:v>
      </x:c>
      <x:c r="F16" t="n">
        <x:v>4</x:v>
      </x:c>
      <x:c r="G16" s="35" t="n">
        <x:v>95</x:v>
      </x:c>
      <x:c r="H16" s="35" t="n">
        <x:v>2</x:v>
      </x:c>
      <x:c r="I16" s="35" t="n">
        <x:f>E16*G16*H16</x:f>
        <x:v>760</x:v>
      </x:c>
      <x:c r="J16" t="str">
        <x:v>Returned</x:v>
      </x:c>
      <x:c r="K16" t="str"/>
    </x:row>
    <x:row r="17">
      <x:c r="A17" t="str">
        <x:v>LI-0013</x:v>
      </x:c>
      <x:c r="B17" t="str">
        <x:v>R-26067</x:v>
      </x:c>
      <x:c r="C17" t="str">
        <x:v>NC-OP-001</x:v>
      </x:c>
      <x:c r="D17" t="str">
        <x:v>Water refill station</x:v>
      </x:c>
      <x:c r="E17" t="n">
        <x:v>2</x:v>
      </x:c>
      <x:c r="F17" t="n">
        <x:v>2</x:v>
      </x:c>
      <x:c r="G17" s="35" t="n">
        <x:v>220</x:v>
      </x:c>
      <x:c r="H17" s="35" t="n">
        <x:v>5</x:v>
      </x:c>
      <x:c r="I17" s="35" t="n">
        <x:f>E17*G17*H17</x:f>
        <x:v>2200</x:v>
      </x:c>
      <x:c r="J17" t="str">
        <x:v>Returned</x:v>
      </x:c>
      <x:c r="K17" t="str"/>
    </x:row>
    <x:row r="18">
      <x:c r="A18" t="str">
        <x:v>LI-0014</x:v>
      </x:c>
      <x:c r="B18" t="str">
        <x:v>R-26067</x:v>
      </x:c>
      <x:c r="C18" t="str">
        <x:v>NC-LT-001</x:v>
      </x:c>
      <x:c r="D18" t="str">
        <x:v>LED wash fixture</x:v>
      </x:c>
      <x:c r="E18" t="n">
        <x:v>36</x:v>
      </x:c>
      <x:c r="F18" t="n">
        <x:v>36</x:v>
      </x:c>
      <x:c r="G18" s="35" t="n">
        <x:v>24</x:v>
      </x:c>
      <x:c r="H18" s="35" t="n">
        <x:v>5</x:v>
      </x:c>
      <x:c r="I18" s="35" t="n">
        <x:f>E18*G18*H18</x:f>
        <x:v>4320</x:v>
      </x:c>
      <x:c r="J18" t="str">
        <x:v>Returned</x:v>
      </x:c>
      <x:c r="K18" t="str"/>
    </x:row>
    <x:row r="19">
      <x:c r="A19" t="str">
        <x:v>LI-0015</x:v>
      </x:c>
      <x:c r="B19" t="str">
        <x:v>R-26068</x:v>
      </x:c>
      <x:c r="C19" t="str">
        <x:v>NC-FX-001</x:v>
      </x:c>
      <x:c r="D19" t="str">
        <x:v>LED cube / side table</x:v>
      </x:c>
      <x:c r="E19" t="n">
        <x:v>25</x:v>
      </x:c>
      <x:c r="F19" t="n">
        <x:v>0</x:v>
      </x:c>
      <x:c r="G19" s="35" t="n">
        <x:v>22</x:v>
      </x:c>
      <x:c r="H19" s="35" t="n">
        <x:v>2</x:v>
      </x:c>
      <x:c r="I19" s="35" t="n">
        <x:f>E19*G19*H19</x:f>
        <x:v>1100</x:v>
      </x:c>
      <x:c r="J19" t="str">
        <x:v>Canceled</x:v>
      </x:c>
      <x:c r="K19" t="str"/>
    </x:row>
    <x:row r="20">
      <x:c r="A20" t="str">
        <x:v>LI-0016</x:v>
      </x:c>
      <x:c r="B20" t="str">
        <x:v>R-26068</x:v>
      </x:c>
      <x:c r="C20" t="str">
        <x:v>NC-FX-002</x:v>
      </x:c>
      <x:c r="D20" t="str">
        <x:v>Macramé hammock set</x:v>
      </x:c>
      <x:c r="E20" t="n">
        <x:v>10</x:v>
      </x:c>
      <x:c r="F20" t="n">
        <x:v>0</x:v>
      </x:c>
      <x:c r="G20" s="35" t="n">
        <x:v>28</x:v>
      </x:c>
      <x:c r="H20" s="35" t="n">
        <x:v>2</x:v>
      </x:c>
      <x:c r="I20" s="35" t="n">
        <x:f>E20*G20*H20</x:f>
        <x:v>560</x:v>
      </x:c>
      <x:c r="J20" t="str">
        <x:v>Canceled</x:v>
      </x:c>
      <x:c r="K20" t="str"/>
    </x:row>
    <x:row r="21">
      <x:c r="A21" t="str">
        <x:v>LI-0017</x:v>
      </x:c>
      <x:c r="B21" t="str">
        <x:v>R-26069</x:v>
      </x:c>
      <x:c r="C21" t="str">
        <x:v>NC-VD-001</x:v>
      </x:c>
      <x:c r="D21" t="str">
        <x:v>LED video wall panel, 2.9mm</x:v>
      </x:c>
      <x:c r="E21" t="n">
        <x:v>32</x:v>
      </x:c>
      <x:c r="F21" t="n">
        <x:v>32</x:v>
      </x:c>
      <x:c r="G21" s="35" t="n">
        <x:v>82</x:v>
      </x:c>
      <x:c r="H21" s="35" t="n">
        <x:v>3</x:v>
      </x:c>
      <x:c r="I21" s="35" t="n">
        <x:f>E21*G21*H21</x:f>
        <x:v>7872</x:v>
      </x:c>
      <x:c r="J21" t="str">
        <x:v>Returned</x:v>
      </x:c>
      <x:c r="K21" t="str"/>
    </x:row>
    <x:row r="22">
      <x:c r="A22" t="str">
        <x:v>LI-0018</x:v>
      </x:c>
      <x:c r="B22" t="str">
        <x:v>R-26069</x:v>
      </x:c>
      <x:c r="C22" t="str">
        <x:v>NC-ST-001</x:v>
      </x:c>
      <x:c r="D22" t="str">
        <x:v>4 ft x 4 ft stage deck</x:v>
      </x:c>
      <x:c r="E22" t="n">
        <x:v>16</x:v>
      </x:c>
      <x:c r="F22" t="n">
        <x:v>16</x:v>
      </x:c>
      <x:c r="G22" s="35" t="n">
        <x:v>34</x:v>
      </x:c>
      <x:c r="H22" s="35" t="n">
        <x:v>3</x:v>
      </x:c>
      <x:c r="I22" s="35" t="n">
        <x:f>E22*G22*H22</x:f>
        <x:v>1632</x:v>
      </x:c>
      <x:c r="J22" t="str">
        <x:v>Returned</x:v>
      </x:c>
      <x:c r="K22" t="str"/>
    </x:row>
    <x:row r="23">
      <x:c r="A23" t="str">
        <x:v>LI-0019</x:v>
      </x:c>
      <x:c r="B23" t="str">
        <x:v>R-26070</x:v>
      </x:c>
      <x:c r="C23" t="str">
        <x:v>NC-AU-003</x:v>
      </x:c>
      <x:c r="D23" t="str">
        <x:v>DJ monitor pair</x:v>
      </x:c>
      <x:c r="E23" t="n">
        <x:v>1</x:v>
      </x:c>
      <x:c r="F23" t="n">
        <x:v>1</x:v>
      </x:c>
      <x:c r="G23" s="35" t="n">
        <x:v>80</x:v>
      </x:c>
      <x:c r="H23" s="35" t="n">
        <x:v>2</x:v>
      </x:c>
      <x:c r="I23" s="35" t="n">
        <x:f>E23*G23*H23</x:f>
        <x:v>160</x:v>
      </x:c>
      <x:c r="J23" t="str">
        <x:v>Returned</x:v>
      </x:c>
      <x:c r="K23" t="str"/>
    </x:row>
    <x:row r="24">
      <x:c r="A24" t="str">
        <x:v>LI-0020</x:v>
      </x:c>
      <x:c r="B24" t="str">
        <x:v>R-26071</x:v>
      </x:c>
      <x:c r="C24" t="str">
        <x:v>NC-SD-001</x:v>
      </x:c>
      <x:c r="D24" t="str">
        <x:v>Silent-disco headphones, 3-channel</x:v>
      </x:c>
      <x:c r="E24" t="n">
        <x:v>550</x:v>
      </x:c>
      <x:c r="F24" t="n">
        <x:v>550</x:v>
      </x:c>
      <x:c r="G24" s="35" t="n">
        <x:v>12</x:v>
      </x:c>
      <x:c r="H24" s="35" t="n">
        <x:v>4</x:v>
      </x:c>
      <x:c r="I24" s="35" t="n">
        <x:f>E24*G24*H24</x:f>
        <x:v>26400</x:v>
      </x:c>
      <x:c r="J24" t="str">
        <x:v>Returned</x:v>
      </x:c>
      <x:c r="K24" t="str"/>
    </x:row>
    <x:row r="25">
      <x:c r="A25" t="str">
        <x:v>LI-0021</x:v>
      </x:c>
      <x:c r="B25" t="str">
        <x:v>R-26071</x:v>
      </x:c>
      <x:c r="C25" t="str">
        <x:v>NC-CH-001</x:v>
      </x:c>
      <x:c r="D25" t="str">
        <x:v>Headset charging stations</x:v>
      </x:c>
      <x:c r="E25" t="n">
        <x:v>12</x:v>
      </x:c>
      <x:c r="F25" t="n">
        <x:v>12</x:v>
      </x:c>
      <x:c r="G25" s="35" t="n">
        <x:v>45</x:v>
      </x:c>
      <x:c r="H25" s="35" t="n">
        <x:v>4</x:v>
      </x:c>
      <x:c r="I25" s="35" t="n">
        <x:f>E25*G25*H25</x:f>
        <x:v>2160</x:v>
      </x:c>
      <x:c r="J25" t="str">
        <x:v>Returned</x:v>
      </x:c>
      <x:c r="K25" t="str"/>
    </x:row>
    <x:row r="26">
      <x:c r="A26" t="str">
        <x:v>LI-0022</x:v>
      </x:c>
      <x:c r="B26" t="str">
        <x:v>R-26071</x:v>
      </x:c>
      <x:c r="C26" t="str">
        <x:v>NC-FX-003</x:v>
      </x:c>
      <x:c r="D26" t="str">
        <x:v>Inflatable art mushroom</x:v>
      </x:c>
      <x:c r="E26" t="n">
        <x:v>3</x:v>
      </x:c>
      <x:c r="F26" t="n">
        <x:v>3</x:v>
      </x:c>
      <x:c r="G26" s="35" t="n">
        <x:v>180</x:v>
      </x:c>
      <x:c r="H26" s="35" t="n">
        <x:v>4</x:v>
      </x:c>
      <x:c r="I26" s="35" t="n">
        <x:f>E26*G26*H26</x:f>
        <x:v>2160</x:v>
      </x:c>
      <x:c r="J26" t="str">
        <x:v>Returned</x:v>
      </x:c>
      <x:c r="K26" t="str"/>
    </x:row>
    <x:row r="27">
      <x:c r="A27" t="str">
        <x:v>LI-0023</x:v>
      </x:c>
      <x:c r="B27" t="str">
        <x:v>R-26072</x:v>
      </x:c>
      <x:c r="C27" t="str">
        <x:v>NC-LT-002</x:v>
      </x:c>
      <x:c r="D27" t="str">
        <x:v>Moving-head beam fixture</x:v>
      </x:c>
      <x:c r="E27" t="n">
        <x:v>8</x:v>
      </x:c>
      <x:c r="F27" t="n">
        <x:v>8</x:v>
      </x:c>
      <x:c r="G27" s="35" t="n">
        <x:v>95</x:v>
      </x:c>
      <x:c r="H27" s="35" t="n">
        <x:v>2</x:v>
      </x:c>
      <x:c r="I27" s="35" t="n">
        <x:f>E27*G27*H27</x:f>
        <x:v>1520</x:v>
      </x:c>
      <x:c r="J27" t="str">
        <x:v>Returned</x:v>
      </x:c>
      <x:c r="K27" t="str"/>
    </x:row>
    <x:row r="28">
      <x:c r="A28" t="str">
        <x:v>LI-0024</x:v>
      </x:c>
      <x:c r="B28" t="str">
        <x:v>R-26072</x:v>
      </x:c>
      <x:c r="C28" t="str">
        <x:v>NC-LT-003</x:v>
      </x:c>
      <x:c r="D28" t="str">
        <x:v>Haze machine</x:v>
      </x:c>
      <x:c r="E28" t="n">
        <x:v>2</x:v>
      </x:c>
      <x:c r="F28" t="n">
        <x:v>2</x:v>
      </x:c>
      <x:c r="G28" s="35" t="n">
        <x:v>55</x:v>
      </x:c>
      <x:c r="H28" s="35" t="n">
        <x:v>2</x:v>
      </x:c>
      <x:c r="I28" s="35" t="n">
        <x:f>E28*G28*H28</x:f>
        <x:v>220</x:v>
      </x:c>
      <x:c r="J28" t="str">
        <x:v>Returned</x:v>
      </x:c>
      <x:c r="K28" t="str"/>
    </x:row>
    <x:row r="29">
      <x:c r="A29" t="str">
        <x:v>LI-0025</x:v>
      </x:c>
      <x:c r="B29" t="str">
        <x:v>R-26073</x:v>
      </x:c>
      <x:c r="C29" t="str">
        <x:v>NC-AU-004</x:v>
      </x:c>
      <x:c r="D29" t="str">
        <x:v>DJ mixer, 4-channel</x:v>
      </x:c>
      <x:c r="E29" t="n">
        <x:v>1</x:v>
      </x:c>
      <x:c r="F29" t="n">
        <x:v>1</x:v>
      </x:c>
      <x:c r="G29" s="35" t="n">
        <x:v>145</x:v>
      </x:c>
      <x:c r="H29" s="35" t="n">
        <x:v>2</x:v>
      </x:c>
      <x:c r="I29" s="35" t="n">
        <x:f>E29*G29*H29</x:f>
        <x:v>290</x:v>
      </x:c>
      <x:c r="J29" t="str">
        <x:v>Returned</x:v>
      </x:c>
      <x:c r="K29" t="str"/>
    </x:row>
    <x:row r="30">
      <x:c r="A30" t="str">
        <x:v>LI-0026</x:v>
      </x:c>
      <x:c r="B30" t="str">
        <x:v>R-26074</x:v>
      </x:c>
      <x:c r="C30" t="str">
        <x:v>NC-SD-001</x:v>
      </x:c>
      <x:c r="D30" t="str">
        <x:v>Silent-disco headphones, 3-channel</x:v>
      </x:c>
      <x:c r="E30" t="n">
        <x:v>200</x:v>
      </x:c>
      <x:c r="F30" t="n">
        <x:v>200</x:v>
      </x:c>
      <x:c r="G30" s="35" t="n">
        <x:v>12</x:v>
      </x:c>
      <x:c r="H30" s="35" t="n">
        <x:v>2</x:v>
      </x:c>
      <x:c r="I30" s="35" t="n">
        <x:f>E30*G30*H30</x:f>
        <x:v>4800</x:v>
      </x:c>
      <x:c r="J30" t="str">
        <x:v>Returned</x:v>
      </x:c>
      <x:c r="K30" t="str"/>
    </x:row>
    <x:row r="31">
      <x:c r="A31" t="str">
        <x:v>LI-0027</x:v>
      </x:c>
      <x:c r="B31" t="str">
        <x:v>R-26074</x:v>
      </x:c>
      <x:c r="C31" t="str">
        <x:v>NC-LT-001</x:v>
      </x:c>
      <x:c r="D31" t="str">
        <x:v>LED wash fixture</x:v>
      </x:c>
      <x:c r="E31" t="n">
        <x:v>18</x:v>
      </x:c>
      <x:c r="F31" t="n">
        <x:v>18</x:v>
      </x:c>
      <x:c r="G31" s="35" t="n">
        <x:v>24</x:v>
      </x:c>
      <x:c r="H31" s="35" t="n">
        <x:v>2</x:v>
      </x:c>
      <x:c r="I31" s="35" t="n">
        <x:f>E31*G31*H31</x:f>
        <x:v>864</x:v>
      </x:c>
      <x:c r="J31" t="str">
        <x:v>Returned</x:v>
      </x:c>
      <x:c r="K31" t="str"/>
    </x:row>
    <x:row r="32">
      <x:c r="A32" t="str">
        <x:v>LI-0028</x:v>
      </x:c>
      <x:c r="B32" t="str">
        <x:v>R-26075</x:v>
      </x:c>
      <x:c r="C32" t="str">
        <x:v>NC-FX-001</x:v>
      </x:c>
      <x:c r="D32" t="str">
        <x:v>LED cube / side table</x:v>
      </x:c>
      <x:c r="E32" t="n">
        <x:v>30</x:v>
      </x:c>
      <x:c r="F32" t="n">
        <x:v>30</x:v>
      </x:c>
      <x:c r="G32" s="35" t="n">
        <x:v>22</x:v>
      </x:c>
      <x:c r="H32" s="35" t="n">
        <x:v>2</x:v>
      </x:c>
      <x:c r="I32" s="35" t="n">
        <x:f>E32*G32*H32</x:f>
        <x:v>1320</x:v>
      </x:c>
      <x:c r="J32" t="str">
        <x:v>Returned</x:v>
      </x:c>
      <x:c r="K32" t="str"/>
    </x:row>
    <x:row r="33">
      <x:c r="A33" t="str">
        <x:v>LI-0029</x:v>
      </x:c>
      <x:c r="B33" t="str">
        <x:v>R-26075</x:v>
      </x:c>
      <x:c r="C33" t="str">
        <x:v>NC-VD-002</x:v>
      </x:c>
      <x:c r="D33" t="str">
        <x:v>Fast-fold projection screen, 12 ft</x:v>
      </x:c>
      <x:c r="E33" t="n">
        <x:v>1</x:v>
      </x:c>
      <x:c r="F33" t="n">
        <x:v>1</x:v>
      </x:c>
      <x:c r="G33" s="35" t="n">
        <x:v>120</x:v>
      </x:c>
      <x:c r="H33" s="35" t="n">
        <x:v>2</x:v>
      </x:c>
      <x:c r="I33" s="35" t="n">
        <x:f>E33*G33*H33</x:f>
        <x:v>240</x:v>
      </x:c>
      <x:c r="J33" t="str">
        <x:v>Returned</x:v>
      </x:c>
      <x:c r="K33" t="str"/>
    </x:row>
    <x:row r="34">
      <x:c r="A34" t="str">
        <x:v>LI-0030</x:v>
      </x:c>
      <x:c r="B34" t="str">
        <x:v>R-26076</x:v>
      </x:c>
      <x:c r="C34" t="str">
        <x:v>NC-AU-001</x:v>
      </x:c>
      <x:c r="D34" t="str">
        <x:v>12-inch powered speaker</x:v>
      </x:c>
      <x:c r="E34" t="n">
        <x:v>6</x:v>
      </x:c>
      <x:c r="F34" t="n">
        <x:v>6</x:v>
      </x:c>
      <x:c r="G34" s="35" t="n">
        <x:v>68</x:v>
      </x:c>
      <x:c r="H34" s="35" t="n">
        <x:v>2</x:v>
      </x:c>
      <x:c r="I34" s="35" t="n">
        <x:f>E34*G34*H34</x:f>
        <x:v>816</x:v>
      </x:c>
      <x:c r="J34" t="str">
        <x:v>Returned</x:v>
      </x:c>
      <x:c r="K34" t="str"/>
    </x:row>
    <x:row r="35">
      <x:c r="A35" t="str">
        <x:v>LI-0031</x:v>
      </x:c>
      <x:c r="B35" t="str">
        <x:v>R-26077</x:v>
      </x:c>
      <x:c r="C35" t="str">
        <x:v>NC-SD-001</x:v>
      </x:c>
      <x:c r="D35" t="str">
        <x:v>Silent-disco headphones, 3-channel</x:v>
      </x:c>
      <x:c r="E35" t="n">
        <x:v>480</x:v>
      </x:c>
      <x:c r="F35" t="n">
        <x:v>480</x:v>
      </x:c>
      <x:c r="G35" s="35" t="n">
        <x:v>12</x:v>
      </x:c>
      <x:c r="H35" s="35" t="n">
        <x:v>3</x:v>
      </x:c>
      <x:c r="I35" s="35" t="n">
        <x:f>E35*G35*H35</x:f>
        <x:v>17280</x:v>
      </x:c>
      <x:c r="J35" t="str">
        <x:v>Returned</x:v>
      </x:c>
      <x:c r="K35" t="str"/>
    </x:row>
    <x:row r="36">
      <x:c r="A36" t="str">
        <x:v>LI-0032</x:v>
      </x:c>
      <x:c r="B36" t="str">
        <x:v>R-26077</x:v>
      </x:c>
      <x:c r="C36" t="str">
        <x:v>NC-CH-001</x:v>
      </x:c>
      <x:c r="D36" t="str">
        <x:v>Headset charging stations</x:v>
      </x:c>
      <x:c r="E36" t="n">
        <x:v>10</x:v>
      </x:c>
      <x:c r="F36" t="n">
        <x:v>10</x:v>
      </x:c>
      <x:c r="G36" s="35" t="n">
        <x:v>45</x:v>
      </x:c>
      <x:c r="H36" s="35" t="n">
        <x:v>3</x:v>
      </x:c>
      <x:c r="I36" s="35" t="n">
        <x:f>E36*G36*H36</x:f>
        <x:v>1350</x:v>
      </x:c>
      <x:c r="J36" t="str">
        <x:v>Returned</x:v>
      </x:c>
      <x:c r="K36" t="str"/>
    </x:row>
    <x:row r="37">
      <x:c r="A37" t="str">
        <x:v>LI-0033</x:v>
      </x:c>
      <x:c r="B37" t="str">
        <x:v>R-26077</x:v>
      </x:c>
      <x:c r="C37" t="str">
        <x:v>NC-OP-003</x:v>
      </x:c>
      <x:c r="D37" t="str">
        <x:v>Steel crowd-control barricade</x:v>
      </x:c>
      <x:c r="E37" t="n">
        <x:v>100</x:v>
      </x:c>
      <x:c r="F37" t="n">
        <x:v>100</x:v>
      </x:c>
      <x:c r="G37" s="35" t="n">
        <x:v>6</x:v>
      </x:c>
      <x:c r="H37" s="35" t="n">
        <x:v>3</x:v>
      </x:c>
      <x:c r="I37" s="35" t="n">
        <x:f>E37*G37*H37</x:f>
        <x:v>1800</x:v>
      </x:c>
      <x:c r="J37" t="str">
        <x:v>Returned</x:v>
      </x:c>
      <x:c r="K37" t="str"/>
    </x:row>
    <x:row r="38">
      <x:c r="A38" t="str">
        <x:v>LI-0034</x:v>
      </x:c>
      <x:c r="B38" t="str">
        <x:v>R-26078</x:v>
      </x:c>
      <x:c r="C38" t="str">
        <x:v>NC-ST-001</x:v>
      </x:c>
      <x:c r="D38" t="str">
        <x:v>4 ft x 4 ft stage deck</x:v>
      </x:c>
      <x:c r="E38" t="n">
        <x:v>12</x:v>
      </x:c>
      <x:c r="F38" t="n">
        <x:v>12</x:v>
      </x:c>
      <x:c r="G38" s="35" t="n">
        <x:v>34</x:v>
      </x:c>
      <x:c r="H38" s="35" t="n">
        <x:v>2</x:v>
      </x:c>
      <x:c r="I38" s="35" t="n">
        <x:f>E38*G38*H38</x:f>
        <x:v>816</x:v>
      </x:c>
      <x:c r="J38" t="str">
        <x:v>Returned</x:v>
      </x:c>
      <x:c r="K38" t="str"/>
    </x:row>
    <x:row r="39">
      <x:c r="A39" t="str">
        <x:v>LI-0035</x:v>
      </x:c>
      <x:c r="B39" t="str">
        <x:v>R-26079</x:v>
      </x:c>
      <x:c r="C39" t="str">
        <x:v>NC-SD-001</x:v>
      </x:c>
      <x:c r="D39" t="str">
        <x:v>Silent-disco headphones, 3-channel</x:v>
      </x:c>
      <x:c r="E39" t="n">
        <x:v>620</x:v>
      </x:c>
      <x:c r="F39" t="n">
        <x:v>620</x:v>
      </x:c>
      <x:c r="G39" s="35" t="n">
        <x:v>12</x:v>
      </x:c>
      <x:c r="H39" s="35" t="n">
        <x:v>3</x:v>
      </x:c>
      <x:c r="I39" s="35" t="n">
        <x:f>E39*G39*H39</x:f>
        <x:v>22320</x:v>
      </x:c>
      <x:c r="J39" t="str">
        <x:v>Returned</x:v>
      </x:c>
      <x:c r="K39" t="str"/>
    </x:row>
    <x:row r="40">
      <x:c r="A40" t="str">
        <x:v>LI-0036</x:v>
      </x:c>
      <x:c r="B40" t="str">
        <x:v>R-26079</x:v>
      </x:c>
      <x:c r="C40" t="str">
        <x:v>NC-SD-002</x:v>
      </x:c>
      <x:c r="D40" t="str">
        <x:v>3-channel transmitters</x:v>
      </x:c>
      <x:c r="E40" t="n">
        <x:v>6</x:v>
      </x:c>
      <x:c r="F40" t="n">
        <x:v>6</x:v>
      </x:c>
      <x:c r="G40" s="35" t="n">
        <x:v>85</x:v>
      </x:c>
      <x:c r="H40" s="35" t="n">
        <x:v>3</x:v>
      </x:c>
      <x:c r="I40" s="35" t="n">
        <x:f>E40*G40*H40</x:f>
        <x:v>1530</x:v>
      </x:c>
      <x:c r="J40" t="str">
        <x:v>Returned</x:v>
      </x:c>
      <x:c r="K40" t="str"/>
    </x:row>
    <x:row r="41">
      <x:c r="A41" t="str">
        <x:v>LI-0037</x:v>
      </x:c>
      <x:c r="B41" t="str">
        <x:v>R-26079</x:v>
      </x:c>
      <x:c r="C41" t="str">
        <x:v>NC-FX-003</x:v>
      </x:c>
      <x:c r="D41" t="str">
        <x:v>Inflatable art mushroom</x:v>
      </x:c>
      <x:c r="E41" t="n">
        <x:v>4</x:v>
      </x:c>
      <x:c r="F41" t="n">
        <x:v>4</x:v>
      </x:c>
      <x:c r="G41" s="35" t="n">
        <x:v>180</x:v>
      </x:c>
      <x:c r="H41" s="35" t="n">
        <x:v>3</x:v>
      </x:c>
      <x:c r="I41" s="35" t="n">
        <x:f>E41*G41*H41</x:f>
        <x:v>2160</x:v>
      </x:c>
      <x:c r="J41" t="str">
        <x:v>Returned</x:v>
      </x:c>
      <x:c r="K41" t="str"/>
    </x:row>
    <x:row r="42">
      <x:c r="A42" t="str">
        <x:v>LI-0038</x:v>
      </x:c>
      <x:c r="B42" t="str">
        <x:v>R-26080</x:v>
      </x:c>
      <x:c r="C42" t="str">
        <x:v>NC-LT-001</x:v>
      </x:c>
      <x:c r="D42" t="str">
        <x:v>LED wash fixture</x:v>
      </x:c>
      <x:c r="E42" t="n">
        <x:v>48</x:v>
      </x:c>
      <x:c r="F42" t="n">
        <x:v>48</x:v>
      </x:c>
      <x:c r="G42" s="35" t="n">
        <x:v>24</x:v>
      </x:c>
      <x:c r="H42" s="35" t="n">
        <x:v>3</x:v>
      </x:c>
      <x:c r="I42" s="35" t="n">
        <x:f>E42*G42*H42</x:f>
        <x:v>3456</x:v>
      </x:c>
      <x:c r="J42" t="str">
        <x:v>Returned</x:v>
      </x:c>
      <x:c r="K42" t="str"/>
    </x:row>
    <x:row r="43">
      <x:c r="A43" t="str">
        <x:v>LI-0039</x:v>
      </x:c>
      <x:c r="B43" t="str">
        <x:v>R-26080</x:v>
      </x:c>
      <x:c r="C43" t="str">
        <x:v>NC-LT-002</x:v>
      </x:c>
      <x:c r="D43" t="str">
        <x:v>Moving-head beam fixture</x:v>
      </x:c>
      <x:c r="E43" t="n">
        <x:v>12</x:v>
      </x:c>
      <x:c r="F43" t="n">
        <x:v>12</x:v>
      </x:c>
      <x:c r="G43" s="35" t="n">
        <x:v>95</x:v>
      </x:c>
      <x:c r="H43" s="35" t="n">
        <x:v>3</x:v>
      </x:c>
      <x:c r="I43" s="35" t="n">
        <x:f>E43*G43*H43</x:f>
        <x:v>3420</x:v>
      </x:c>
      <x:c r="J43" t="str">
        <x:v>Returned</x:v>
      </x:c>
      <x:c r="K43" t="str"/>
    </x:row>
    <x:row r="44">
      <x:c r="A44" t="str">
        <x:v>LI-0040</x:v>
      </x:c>
      <x:c r="B44" t="str">
        <x:v>R-26081</x:v>
      </x:c>
      <x:c r="C44" t="str">
        <x:v>NC-VD-001</x:v>
      </x:c>
      <x:c r="D44" t="str">
        <x:v>LED video wall panel, 2.9mm</x:v>
      </x:c>
      <x:c r="E44" t="n">
        <x:v>24</x:v>
      </x:c>
      <x:c r="F44" t="n">
        <x:v>24</x:v>
      </x:c>
      <x:c r="G44" s="35" t="n">
        <x:v>82</x:v>
      </x:c>
      <x:c r="H44" s="35" t="n">
        <x:v>2</x:v>
      </x:c>
      <x:c r="I44" s="35" t="n">
        <x:f>E44*G44*H44</x:f>
        <x:v>3936</x:v>
      </x:c>
      <x:c r="J44" t="str">
        <x:v>Returned</x:v>
      </x:c>
      <x:c r="K44" t="str"/>
    </x:row>
    <x:row r="45">
      <x:c r="A45" t="str">
        <x:v>LI-0041</x:v>
      </x:c>
      <x:c r="B45" t="str">
        <x:v>R-26082</x:v>
      </x:c>
      <x:c r="C45" t="str">
        <x:v>NC-AU-002</x:v>
      </x:c>
      <x:c r="D45" t="str">
        <x:v>18-inch powered subwoofer</x:v>
      </x:c>
      <x:c r="E45" t="n">
        <x:v>2</x:v>
      </x:c>
      <x:c r="F45" t="n">
        <x:v>2</x:v>
      </x:c>
      <x:c r="G45" s="35" t="n">
        <x:v>95</x:v>
      </x:c>
      <x:c r="H45" s="35" t="n">
        <x:v>2</x:v>
      </x:c>
      <x:c r="I45" s="35" t="n">
        <x:f>E45*G45*H45</x:f>
        <x:v>380</x:v>
      </x:c>
      <x:c r="J45" t="str">
        <x:v>Returned</x:v>
      </x:c>
      <x:c r="K45" t="str"/>
    </x:row>
    <x:row r="46">
      <x:c r="A46" t="str">
        <x:v>LI-0042</x:v>
      </x:c>
      <x:c r="B46" t="str">
        <x:v>R-26083</x:v>
      </x:c>
      <x:c r="C46" t="str">
        <x:v>NC-FX-001</x:v>
      </x:c>
      <x:c r="D46" t="str">
        <x:v>LED cube / side table</x:v>
      </x:c>
      <x:c r="E46" t="n">
        <x:v>20</x:v>
      </x:c>
      <x:c r="F46" t="n">
        <x:v>20</x:v>
      </x:c>
      <x:c r="G46" s="35" t="n">
        <x:v>22</x:v>
      </x:c>
      <x:c r="H46" s="35" t="n">
        <x:v>2</x:v>
      </x:c>
      <x:c r="I46" s="35" t="n">
        <x:f>E46*G46*H46</x:f>
        <x:v>880</x:v>
      </x:c>
      <x:c r="J46" t="str">
        <x:v>Returned</x:v>
      </x:c>
      <x:c r="K46" t="str"/>
    </x:row>
    <x:row r="47">
      <x:c r="A47" t="str">
        <x:v>LI-0043</x:v>
      </x:c>
      <x:c r="B47" t="str">
        <x:v>R-26083</x:v>
      </x:c>
      <x:c r="C47" t="str">
        <x:v>NC-OP-002</x:v>
      </x:c>
      <x:c r="D47" t="str">
        <x:v>Portable concession counter</x:v>
      </x:c>
      <x:c r="E47" t="n">
        <x:v>4</x:v>
      </x:c>
      <x:c r="F47" t="n">
        <x:v>4</x:v>
      </x:c>
      <x:c r="G47" s="35" t="n">
        <x:v>110</x:v>
      </x:c>
      <x:c r="H47" s="35" t="n">
        <x:v>2</x:v>
      </x:c>
      <x:c r="I47" s="35" t="n">
        <x:f>E47*G47*H47</x:f>
        <x:v>880</x:v>
      </x:c>
      <x:c r="J47" t="str">
        <x:v>Returned</x:v>
      </x:c>
      <x:c r="K47" t="str"/>
    </x:row>
    <x:row r="48">
      <x:c r="A48" t="str">
        <x:v>LI-0044</x:v>
      </x:c>
      <x:c r="B48" t="str">
        <x:v>R-26084</x:v>
      </x:c>
      <x:c r="C48" t="str">
        <x:v>NC-SD-001</x:v>
      </x:c>
      <x:c r="D48" t="str">
        <x:v>Silent-disco headphones, 3-channel</x:v>
      </x:c>
      <x:c r="E48" t="n">
        <x:v>650</x:v>
      </x:c>
      <x:c r="F48" t="n">
        <x:v>650</x:v>
      </x:c>
      <x:c r="G48" s="35" t="n">
        <x:v>12</x:v>
      </x:c>
      <x:c r="H48" s="35" t="n">
        <x:v>4</x:v>
      </x:c>
      <x:c r="I48" s="35" t="n">
        <x:f>E48*G48*H48</x:f>
        <x:v>31200</x:v>
      </x:c>
      <x:c r="J48" t="str">
        <x:v>Dispatched</x:v>
      </x:c>
      <x:c r="K48" t="str"/>
    </x:row>
    <x:row r="49">
      <x:c r="A49" t="str">
        <x:v>LI-0045</x:v>
      </x:c>
      <x:c r="B49" t="str">
        <x:v>R-26084</x:v>
      </x:c>
      <x:c r="C49" t="str">
        <x:v>NC-CH-001</x:v>
      </x:c>
      <x:c r="D49" t="str">
        <x:v>Headset charging stations</x:v>
      </x:c>
      <x:c r="E49" t="n">
        <x:v>14</x:v>
      </x:c>
      <x:c r="F49" t="n">
        <x:v>14</x:v>
      </x:c>
      <x:c r="G49" s="35" t="n">
        <x:v>45</x:v>
      </x:c>
      <x:c r="H49" s="35" t="n">
        <x:v>4</x:v>
      </x:c>
      <x:c r="I49" s="35" t="n">
        <x:f>E49*G49*H49</x:f>
        <x:v>2520</x:v>
      </x:c>
      <x:c r="J49" t="str">
        <x:v>Dispatched</x:v>
      </x:c>
      <x:c r="K49" t="str"/>
    </x:row>
    <x:row r="50">
      <x:c r="A50" t="str">
        <x:v>LI-0046</x:v>
      </x:c>
      <x:c r="B50" t="str">
        <x:v>R-26084</x:v>
      </x:c>
      <x:c r="C50" t="str">
        <x:v>NC-ST-001</x:v>
      </x:c>
      <x:c r="D50" t="str">
        <x:v>4 ft x 4 ft stage deck</x:v>
      </x:c>
      <x:c r="E50" t="n">
        <x:v>30</x:v>
      </x:c>
      <x:c r="F50" t="n">
        <x:v>30</x:v>
      </x:c>
      <x:c r="G50" s="35" t="n">
        <x:v>34</x:v>
      </x:c>
      <x:c r="H50" s="35" t="n">
        <x:v>4</x:v>
      </x:c>
      <x:c r="I50" s="35" t="n">
        <x:f>E50*G50*H50</x:f>
        <x:v>4080</x:v>
      </x:c>
      <x:c r="J50" t="str">
        <x:v>Dispatched</x:v>
      </x:c>
      <x:c r="K50" t="str"/>
    </x:row>
    <x:row r="51">
      <x:c r="A51" t="str">
        <x:v>LI-0047</x:v>
      </x:c>
      <x:c r="B51" t="str">
        <x:v>R-26084</x:v>
      </x:c>
      <x:c r="C51" t="str">
        <x:v>NC-OP-003</x:v>
      </x:c>
      <x:c r="D51" t="str">
        <x:v>Steel crowd-control barricade</x:v>
      </x:c>
      <x:c r="E51" t="n">
        <x:v>120</x:v>
      </x:c>
      <x:c r="F51" t="n">
        <x:v>120</x:v>
      </x:c>
      <x:c r="G51" s="35" t="n">
        <x:v>6</x:v>
      </x:c>
      <x:c r="H51" s="35" t="n">
        <x:v>4</x:v>
      </x:c>
      <x:c r="I51" s="35" t="n">
        <x:f>E51*G51*H51</x:f>
        <x:v>2880</x:v>
      </x:c>
      <x:c r="J51" t="str">
        <x:v>Dispatched</x:v>
      </x:c>
      <x:c r="K51" t="str"/>
    </x:row>
    <x:row r="52">
      <x:c r="A52" t="str">
        <x:v>LI-0048</x:v>
      </x:c>
      <x:c r="B52" t="str">
        <x:v>R-26085</x:v>
      </x:c>
      <x:c r="C52" t="str">
        <x:v>NC-SD-001</x:v>
      </x:c>
      <x:c r="D52" t="str">
        <x:v>Silent-disco headphones, 3-channel</x:v>
      </x:c>
      <x:c r="E52" t="n">
        <x:v>300</x:v>
      </x:c>
      <x:c r="F52" t="n">
        <x:v>300</x:v>
      </x:c>
      <x:c r="G52" s="35" t="n">
        <x:v>12</x:v>
      </x:c>
      <x:c r="H52" s="35" t="n">
        <x:v>2</x:v>
      </x:c>
      <x:c r="I52" s="35" t="n">
        <x:f>E52*G52*H52</x:f>
        <x:v>7200</x:v>
      </x:c>
      <x:c r="J52" t="str">
        <x:v>Dispatched</x:v>
      </x:c>
      <x:c r="K52" t="str"/>
    </x:row>
    <x:row r="53">
      <x:c r="A53" t="str">
        <x:v>LI-0049</x:v>
      </x:c>
      <x:c r="B53" t="str">
        <x:v>R-26085</x:v>
      </x:c>
      <x:c r="C53" t="str">
        <x:v>NC-SD-002</x:v>
      </x:c>
      <x:c r="D53" t="str">
        <x:v>3-channel transmitters</x:v>
      </x:c>
      <x:c r="E53" t="n">
        <x:v>2</x:v>
      </x:c>
      <x:c r="F53" t="n">
        <x:v>2</x:v>
      </x:c>
      <x:c r="G53" s="35" t="n">
        <x:v>85</x:v>
      </x:c>
      <x:c r="H53" s="35" t="n">
        <x:v>2</x:v>
      </x:c>
      <x:c r="I53" s="35" t="n">
        <x:f>E53*G53*H53</x:f>
        <x:v>340</x:v>
      </x:c>
      <x:c r="J53" t="str">
        <x:v>Dispatched</x:v>
      </x:c>
      <x:c r="K53" t="str"/>
    </x:row>
    <x:row r="54">
      <x:c r="A54" t="str">
        <x:v>LI-0050</x:v>
      </x:c>
      <x:c r="B54" t="str">
        <x:v>R-26085</x:v>
      </x:c>
      <x:c r="C54" t="str">
        <x:v>NC-AU-002</x:v>
      </x:c>
      <x:c r="D54" t="str">
        <x:v>18-inch powered subwoofer</x:v>
      </x:c>
      <x:c r="E54" t="n">
        <x:v>6</x:v>
      </x:c>
      <x:c r="F54" t="n">
        <x:v>6</x:v>
      </x:c>
      <x:c r="G54" s="35" t="n">
        <x:v>95</x:v>
      </x:c>
      <x:c r="H54" s="35" t="n">
        <x:v>2</x:v>
      </x:c>
      <x:c r="I54" s="35" t="n">
        <x:f>E54*G54*H54</x:f>
        <x:v>1140</x:v>
      </x:c>
      <x:c r="J54" t="str">
        <x:v>Dispatched</x:v>
      </x:c>
      <x:c r="K54" t="str"/>
    </x:row>
    <x:row r="55">
      <x:c r="A55" t="str">
        <x:v>LI-0051</x:v>
      </x:c>
      <x:c r="B55" t="str">
        <x:v>R-26086</x:v>
      </x:c>
      <x:c r="C55" t="str">
        <x:v>NC-SD-001</x:v>
      </x:c>
      <x:c r="D55" t="str">
        <x:v>Silent-disco headphones, 3-channel</x:v>
      </x:c>
      <x:c r="E55" t="n">
        <x:v>500</x:v>
      </x:c>
      <x:c r="F55" t="str"/>
      <x:c r="G55" s="35" t="n">
        <x:v>12</x:v>
      </x:c>
      <x:c r="H55" s="35" t="n">
        <x:v>2</x:v>
      </x:c>
      <x:c r="I55" s="35" t="n">
        <x:f>E55*G55*H55</x:f>
        <x:v>12000</x:v>
      </x:c>
      <x:c r="J55" t="str">
        <x:v>Unpicked</x:v>
      </x:c>
      <x:c r="K55" t="str">
        <x:v>Needs headset confirmation</x:v>
      </x:c>
    </x:row>
    <x:row r="56">
      <x:c r="A56" t="str">
        <x:v>LI-0052</x:v>
      </x:c>
      <x:c r="B56" t="str">
        <x:v>R-26086</x:v>
      </x:c>
      <x:c r="C56" t="str">
        <x:v>NC-LT-001</x:v>
      </x:c>
      <x:c r="D56" t="str">
        <x:v>LED wash fixture</x:v>
      </x:c>
      <x:c r="E56" t="n">
        <x:v>40</x:v>
      </x:c>
      <x:c r="F56" t="str"/>
      <x:c r="G56" s="35" t="n">
        <x:v>24</x:v>
      </x:c>
      <x:c r="H56" s="35" t="n">
        <x:v>2</x:v>
      </x:c>
      <x:c r="I56" s="35" t="n">
        <x:f>E56*G56*H56</x:f>
        <x:v>1920</x:v>
      </x:c>
      <x:c r="J56" t="str">
        <x:v>Unpicked</x:v>
      </x:c>
      <x:c r="K56" t="str"/>
    </x:row>
    <x:row r="57">
      <x:c r="A57" t="str">
        <x:v>LI-0053</x:v>
      </x:c>
      <x:c r="B57" t="str">
        <x:v>R-26087</x:v>
      </x:c>
      <x:c r="C57" t="str">
        <x:v>NC-SD-001</x:v>
      </x:c>
      <x:c r="D57" t="str">
        <x:v>Silent-disco headphones, 3-channel</x:v>
      </x:c>
      <x:c r="E57" t="n">
        <x:v>700</x:v>
      </x:c>
      <x:c r="F57" t="str"/>
      <x:c r="G57" s="35" t="n">
        <x:v>12</x:v>
      </x:c>
      <x:c r="H57" s="35" t="n">
        <x:v>3</x:v>
      </x:c>
      <x:c r="I57" s="35" t="n">
        <x:f>E57*G57*H57</x:f>
        <x:v>25200</x:v>
      </x:c>
      <x:c r="J57" t="str">
        <x:v>Unpicked</x:v>
      </x:c>
      <x:c r="K57" t="str">
        <x:v>Includes 40 spares? not documented</x:v>
      </x:c>
    </x:row>
    <x:row r="58">
      <x:c r="A58" t="str">
        <x:v>LI-0054</x:v>
      </x:c>
      <x:c r="B58" t="str">
        <x:v>R-26087</x:v>
      </x:c>
      <x:c r="C58" t="str">
        <x:v>NC-CH-001</x:v>
      </x:c>
      <x:c r="D58" t="str">
        <x:v>Headset charging stations</x:v>
      </x:c>
      <x:c r="E58" t="n">
        <x:v>15</x:v>
      </x:c>
      <x:c r="F58" t="str"/>
      <x:c r="G58" s="35" t="n">
        <x:v>45</x:v>
      </x:c>
      <x:c r="H58" s="35" t="n">
        <x:v>3</x:v>
      </x:c>
      <x:c r="I58" s="35" t="n">
        <x:f>E58*G58*H58</x:f>
        <x:v>2025</x:v>
      </x:c>
      <x:c r="J58" t="str">
        <x:v>Unpicked</x:v>
      </x:c>
      <x:c r="K58" t="str"/>
    </x:row>
    <x:row r="59">
      <x:c r="A59" t="str">
        <x:v>LI-0055</x:v>
      </x:c>
      <x:c r="B59" t="str">
        <x:v>R-26087</x:v>
      </x:c>
      <x:c r="C59" t="str">
        <x:v>NC-FX-003</x:v>
      </x:c>
      <x:c r="D59" t="str">
        <x:v>Inflatable art mushroom</x:v>
      </x:c>
      <x:c r="E59" t="n">
        <x:v>4</x:v>
      </x:c>
      <x:c r="F59" t="str"/>
      <x:c r="G59" s="35" t="n">
        <x:v>180</x:v>
      </x:c>
      <x:c r="H59" s="35" t="n">
        <x:v>3</x:v>
      </x:c>
      <x:c r="I59" s="35" t="n">
        <x:f>E59*G59*H59</x:f>
        <x:v>2160</x:v>
      </x:c>
      <x:c r="J59" t="str">
        <x:v>Unpicked</x:v>
      </x:c>
      <x:c r="K59" t="str"/>
    </x:row>
    <x:row r="60">
      <x:c r="A60" t="str">
        <x:v>LI-0056</x:v>
      </x:c>
      <x:c r="B60" t="str">
        <x:v>R-26088</x:v>
      </x:c>
      <x:c r="C60" t="str">
        <x:v>NC-AU-003</x:v>
      </x:c>
      <x:c r="D60" t="str">
        <x:v>DJ monitor pair</x:v>
      </x:c>
      <x:c r="E60" t="n">
        <x:v>1</x:v>
      </x:c>
      <x:c r="F60" t="str"/>
      <x:c r="G60" s="35" t="n">
        <x:v>80</x:v>
      </x:c>
      <x:c r="H60" s="35" t="n">
        <x:v>1</x:v>
      </x:c>
      <x:c r="I60" s="35" t="n">
        <x:f>E60*G60*H60</x:f>
        <x:v>80</x:v>
      </x:c>
      <x:c r="J60" t="str">
        <x:v>Unpicked</x:v>
      </x:c>
      <x:c r="K60" t="str"/>
    </x:row>
    <x:row r="61">
      <x:c r="A61" t="str">
        <x:v>LI-0057</x:v>
      </x:c>
      <x:c r="B61" t="str">
        <x:v>R-26089</x:v>
      </x:c>
      <x:c r="C61" t="str">
        <x:v>NC-VD-001</x:v>
      </x:c>
      <x:c r="D61" t="str">
        <x:v>LED video wall panel, 2.9mm</x:v>
      </x:c>
      <x:c r="E61" t="n">
        <x:v>48</x:v>
      </x:c>
      <x:c r="F61" t="str"/>
      <x:c r="G61" s="35" t="n">
        <x:v>82</x:v>
      </x:c>
      <x:c r="H61" s="35" t="n">
        <x:v>2</x:v>
      </x:c>
      <x:c r="I61" s="35" t="n">
        <x:f>E61*G61*H61</x:f>
        <x:v>7872</x:v>
      </x:c>
      <x:c r="J61" t="str">
        <x:v>Unpicked</x:v>
      </x:c>
      <x:c r="K61" t="str"/>
    </x:row>
    <x:row r="62">
      <x:c r="A62" t="str">
        <x:v>LI-0058</x:v>
      </x:c>
      <x:c r="B62" t="str">
        <x:v>R-26089</x:v>
      </x:c>
      <x:c r="C62" t="str">
        <x:v>NC-LT-002</x:v>
      </x:c>
      <x:c r="D62" t="str">
        <x:v>Moving-head beam fixture</x:v>
      </x:c>
      <x:c r="E62" t="n">
        <x:v>16</x:v>
      </x:c>
      <x:c r="F62" t="str"/>
      <x:c r="G62" s="35" t="n">
        <x:v>95</x:v>
      </x:c>
      <x:c r="H62" s="35" t="n">
        <x:v>2</x:v>
      </x:c>
      <x:c r="I62" s="35" t="n">
        <x:f>E62*G62*H62</x:f>
        <x:v>3040</x:v>
      </x:c>
      <x:c r="J62" t="str">
        <x:v>Unpicked</x:v>
      </x:c>
      <x:c r="K62" t="str"/>
    </x:row>
    <x:row r="63">
      <x:c r="A63" t="str">
        <x:v>LI-0059</x:v>
      </x:c>
      <x:c r="B63" t="str">
        <x:v>R-26089</x:v>
      </x:c>
      <x:c r="C63" t="str">
        <x:v>NC-ST-001</x:v>
      </x:c>
      <x:c r="D63" t="str">
        <x:v>4 ft x 4 ft stage deck</x:v>
      </x:c>
      <x:c r="E63" t="n">
        <x:v>20</x:v>
      </x:c>
      <x:c r="F63" t="str"/>
      <x:c r="G63" s="35" t="n">
        <x:v>34</x:v>
      </x:c>
      <x:c r="H63" s="35" t="n">
        <x:v>2</x:v>
      </x:c>
      <x:c r="I63" s="35" t="n">
        <x:f>E63*G63*H63</x:f>
        <x:v>1360</x:v>
      </x:c>
      <x:c r="J63" t="str">
        <x:v>Unpicked</x:v>
      </x:c>
      <x:c r="K63" t="str"/>
    </x:row>
    <x:row r="64">
      <x:c r="A64" t="str">
        <x:v>LI-0060</x:v>
      </x:c>
      <x:c r="B64" t="str">
        <x:v>R-26090</x:v>
      </x:c>
      <x:c r="C64" t="str">
        <x:v>NC-FX-001</x:v>
      </x:c>
      <x:c r="D64" t="str">
        <x:v>LED cube / side table</x:v>
      </x:c>
      <x:c r="E64" t="n">
        <x:v>32</x:v>
      </x:c>
      <x:c r="F64" t="str"/>
      <x:c r="G64" s="35" t="n">
        <x:v>22</x:v>
      </x:c>
      <x:c r="H64" s="35" t="n">
        <x:v>2</x:v>
      </x:c>
      <x:c r="I64" s="35" t="n">
        <x:f>E64*G64*H64</x:f>
        <x:v>1408</x:v>
      </x:c>
      <x:c r="J64" t="str">
        <x:v>Unpicked</x:v>
      </x:c>
      <x:c r="K64" t="str"/>
    </x:row>
    <x:row r="65">
      <x:c r="A65" t="str">
        <x:v>LI-0061</x:v>
      </x:c>
      <x:c r="B65" t="str">
        <x:v>R-26090</x:v>
      </x:c>
      <x:c r="C65" t="str">
        <x:v>NC-FX-002</x:v>
      </x:c>
      <x:c r="D65" t="str">
        <x:v>Macramé hammock set</x:v>
      </x:c>
      <x:c r="E65" t="n">
        <x:v>18</x:v>
      </x:c>
      <x:c r="F65" t="str"/>
      <x:c r="G65" s="35" t="n">
        <x:v>28</x:v>
      </x:c>
      <x:c r="H65" s="35" t="n">
        <x:v>2</x:v>
      </x:c>
      <x:c r="I65" s="35" t="n">
        <x:f>E65*G65*H65</x:f>
        <x:v>1008</x:v>
      </x:c>
      <x:c r="J65" t="str">
        <x:v>Unpicked</x:v>
      </x:c>
      <x:c r="K65" t="str"/>
    </x:row>
    <x:row r="66">
      <x:c r="A66" t="str">
        <x:v>LI-0062</x:v>
      </x:c>
      <x:c r="B66" t="str">
        <x:v>R-26091</x:v>
      </x:c>
      <x:c r="C66" t="str">
        <x:v>NC-SD-001</x:v>
      </x:c>
      <x:c r="D66" t="str">
        <x:v>Silent-disco headphones, 3-channel</x:v>
      </x:c>
      <x:c r="E66" t="n">
        <x:v>350</x:v>
      </x:c>
      <x:c r="F66" t="str"/>
      <x:c r="G66" s="35" t="n">
        <x:v>12</x:v>
      </x:c>
      <x:c r="H66" s="35" t="n">
        <x:v>2</x:v>
      </x:c>
      <x:c r="I66" s="35" t="n">
        <x:f>E66*G66*H66</x:f>
        <x:v>8400</x:v>
      </x:c>
      <x:c r="J66" t="str">
        <x:v>Unpicked</x:v>
      </x:c>
      <x:c r="K66" t="str"/>
    </x:row>
    <x:row r="67">
      <x:c r="A67" t="str">
        <x:v>LI-0063</x:v>
      </x:c>
      <x:c r="B67" t="str">
        <x:v>R-26091</x:v>
      </x:c>
      <x:c r="C67" t="str">
        <x:v>NC-AU-001</x:v>
      </x:c>
      <x:c r="D67" t="str">
        <x:v>12-inch powered speaker</x:v>
      </x:c>
      <x:c r="E67" t="n">
        <x:v>8</x:v>
      </x:c>
      <x:c r="F67" t="str"/>
      <x:c r="G67" s="35" t="n">
        <x:v>68</x:v>
      </x:c>
      <x:c r="H67" s="35" t="n">
        <x:v>2</x:v>
      </x:c>
      <x:c r="I67" s="35" t="n">
        <x:f>E67*G67*H67</x:f>
        <x:v>1088</x:v>
      </x:c>
      <x:c r="J67" t="str">
        <x:v>Unpicked</x:v>
      </x:c>
      <x:c r="K67" t="str"/>
    </x:row>
    <x:row r="68">
      <x:c r="A68" t="str">
        <x:v>LI-0064</x:v>
      </x:c>
      <x:c r="B68" t="str">
        <x:v>R-26091</x:v>
      </x:c>
      <x:c r="C68" t="str">
        <x:v>NC-OP-004</x:v>
      </x:c>
      <x:c r="D68" t="str">
        <x:v>Cable ramp, 5-channel</x:v>
      </x:c>
      <x:c r="E68" t="n">
        <x:v>20</x:v>
      </x:c>
      <x:c r="F68" t="str"/>
      <x:c r="G68" s="35" t="n">
        <x:v>14</x:v>
      </x:c>
      <x:c r="H68" s="35" t="n">
        <x:v>2</x:v>
      </x:c>
      <x:c r="I68" s="35" t="n">
        <x:f>E68*G68*H68</x:f>
        <x:v>560</x:v>
      </x:c>
      <x:c r="J68" t="str">
        <x:v>Unpicked</x:v>
      </x:c>
      <x:c r="K68" t="str"/>
    </x:row>
    <x:row r="69">
      <x:c r="A69" t="str">
        <x:v>LI-0065</x:v>
      </x:c>
      <x:c r="B69" t="str">
        <x:v>R-26092</x:v>
      </x:c>
      <x:c r="C69" t="str">
        <x:v>NC-VD-001</x:v>
      </x:c>
      <x:c r="D69" t="str">
        <x:v>LED video wall panel, 2.9mm</x:v>
      </x:c>
      <x:c r="E69" t="n">
        <x:v>72</x:v>
      </x:c>
      <x:c r="F69" t="str"/>
      <x:c r="G69" s="35" t="n">
        <x:v>82</x:v>
      </x:c>
      <x:c r="H69" s="35" t="n">
        <x:v>4</x:v>
      </x:c>
      <x:c r="I69" s="35" t="n">
        <x:f>E69*G69*H69</x:f>
        <x:v>23616</x:v>
      </x:c>
      <x:c r="J69" t="str">
        <x:v>Unpicked</x:v>
      </x:c>
      <x:c r="K69" t="str"/>
    </x:row>
    <x:row r="70">
      <x:c r="A70" t="str">
        <x:v>LI-0066</x:v>
      </x:c>
      <x:c r="B70" t="str">
        <x:v>R-26092</x:v>
      </x:c>
      <x:c r="C70" t="str">
        <x:v>NC-LT-001</x:v>
      </x:c>
      <x:c r="D70" t="str">
        <x:v>LED wash fixture</x:v>
      </x:c>
      <x:c r="E70" t="n">
        <x:v>60</x:v>
      </x:c>
      <x:c r="F70" t="str"/>
      <x:c r="G70" s="35" t="n">
        <x:v>24</x:v>
      </x:c>
      <x:c r="H70" s="35" t="n">
        <x:v>4</x:v>
      </x:c>
      <x:c r="I70" s="35" t="n">
        <x:f>E70*G70*H70</x:f>
        <x:v>5760</x:v>
      </x:c>
      <x:c r="J70" t="str">
        <x:v>Unpicked</x:v>
      </x:c>
      <x:c r="K70" t="str"/>
    </x:row>
    <x:row r="71">
      <x:c r="A71" t="str">
        <x:v>LI-0067</x:v>
      </x:c>
      <x:c r="B71" t="str">
        <x:v>R-26092</x:v>
      </x:c>
      <x:c r="C71" t="str">
        <x:v>NC-FX-001</x:v>
      </x:c>
      <x:c r="D71" t="str">
        <x:v>LED cube / side table</x:v>
      </x:c>
      <x:c r="E71" t="n">
        <x:v>36</x:v>
      </x:c>
      <x:c r="F71" t="str"/>
      <x:c r="G71" s="35" t="n">
        <x:v>22</x:v>
      </x:c>
      <x:c r="H71" s="35" t="n">
        <x:v>4</x:v>
      </x:c>
      <x:c r="I71" s="35" t="n">
        <x:f>E71*G71*H71</x:f>
        <x:v>3168</x:v>
      </x:c>
      <x:c r="J71" t="str">
        <x:v>Unpicked</x:v>
      </x:c>
      <x:c r="K71" t="str"/>
    </x:row>
    <x:row r="72">
      <x:c r="A72" t="str">
        <x:v>LI-0068</x:v>
      </x:c>
      <x:c r="B72" t="str">
        <x:v>R-26093</x:v>
      </x:c>
      <x:c r="C72" t="str">
        <x:v>NC-SD-001</x:v>
      </x:c>
      <x:c r="D72" t="str">
        <x:v>Silent-disco headphones, 3-channel</x:v>
      </x:c>
      <x:c r="E72" t="n">
        <x:v>480</x:v>
      </x:c>
      <x:c r="F72" t="str"/>
      <x:c r="G72" s="35" t="n">
        <x:v>12</x:v>
      </x:c>
      <x:c r="H72" s="35" t="n">
        <x:v>2</x:v>
      </x:c>
      <x:c r="I72" s="35" t="n">
        <x:f>E72*G72*H72</x:f>
        <x:v>11520</x:v>
      </x:c>
      <x:c r="J72" t="str">
        <x:v>Unpicked</x:v>
      </x:c>
      <x:c r="K72" t="str"/>
    </x:row>
    <x:row r="73">
      <x:c r="A73" t="str">
        <x:v>LI-0069</x:v>
      </x:c>
      <x:c r="B73" t="str">
        <x:v>R-26093</x:v>
      </x:c>
      <x:c r="C73" t="str">
        <x:v>NC-CH-001</x:v>
      </x:c>
      <x:c r="D73" t="str">
        <x:v>Headset charging stations</x:v>
      </x:c>
      <x:c r="E73" t="n">
        <x:v>10</x:v>
      </x:c>
      <x:c r="F73" t="str"/>
      <x:c r="G73" s="35" t="n">
        <x:v>45</x:v>
      </x:c>
      <x:c r="H73" s="35" t="n">
        <x:v>2</x:v>
      </x:c>
      <x:c r="I73" s="35" t="n">
        <x:f>E73*G73*H73</x:f>
        <x:v>900</x:v>
      </x:c>
      <x:c r="J73" t="str">
        <x:v>Unpicked</x:v>
      </x:c>
      <x:c r="K73" t="str"/>
    </x:row>
    <x:row r="74">
      <x:c r="A74" t="str">
        <x:v>LI-0070</x:v>
      </x:c>
      <x:c r="B74" t="str">
        <x:v>R-26094</x:v>
      </x:c>
      <x:c r="C74" t="str">
        <x:v>NC-ST-001</x:v>
      </x:c>
      <x:c r="D74" t="str">
        <x:v>4 ft x 4 ft stage deck</x:v>
      </x:c>
      <x:c r="E74" t="n">
        <x:v>36</x:v>
      </x:c>
      <x:c r="F74" t="str"/>
      <x:c r="G74" s="35" t="n">
        <x:v>34</x:v>
      </x:c>
      <x:c r="H74" s="35" t="n">
        <x:v>3</x:v>
      </x:c>
      <x:c r="I74" s="35" t="n">
        <x:f>E74*G74*H74</x:f>
        <x:v>3672</x:v>
      </x:c>
      <x:c r="J74" t="str">
        <x:v>Unpicked</x:v>
      </x:c>
      <x:c r="K74" t="str"/>
    </x:row>
    <x:row r="75">
      <x:c r="A75" t="str">
        <x:v>LI-0071</x:v>
      </x:c>
      <x:c r="B75" t="str">
        <x:v>R-26094</x:v>
      </x:c>
      <x:c r="C75" t="str">
        <x:v>NC-OP-003</x:v>
      </x:c>
      <x:c r="D75" t="str">
        <x:v>Steel crowd-control barricade</x:v>
      </x:c>
      <x:c r="E75" t="n">
        <x:v>140</x:v>
      </x:c>
      <x:c r="F75" t="str"/>
      <x:c r="G75" s="35" t="n">
        <x:v>6</x:v>
      </x:c>
      <x:c r="H75" s="35" t="n">
        <x:v>3</x:v>
      </x:c>
      <x:c r="I75" s="35" t="n">
        <x:f>E75*G75*H75</x:f>
        <x:v>2520</x:v>
      </x:c>
      <x:c r="J75" t="str">
        <x:v>Unpicked</x:v>
      </x:c>
      <x:c r="K75" t="str"/>
    </x:row>
    <x:row r="76">
      <x:c r="A76" t="str">
        <x:v>LI-0072</x:v>
      </x:c>
      <x:c r="B76" t="str">
        <x:v>R-26094</x:v>
      </x:c>
      <x:c r="C76" t="str">
        <x:v>NC-OP-001</x:v>
      </x:c>
      <x:c r="D76" t="str">
        <x:v>Water refill station</x:v>
      </x:c>
      <x:c r="E76" t="n">
        <x:v>3</x:v>
      </x:c>
      <x:c r="F76" t="str"/>
      <x:c r="G76" s="35" t="n">
        <x:v>220</x:v>
      </x:c>
      <x:c r="H76" s="35" t="n">
        <x:v>3</x:v>
      </x:c>
      <x:c r="I76" s="35" t="n">
        <x:f>E76*G76*H76</x:f>
        <x:v>1980</x:v>
      </x:c>
      <x:c r="J76" t="str">
        <x:v>Unpicked</x:v>
      </x:c>
      <x:c r="K76" t="str"/>
    </x:row>
    <x:row r="77">
      <x:c r="A77" t="str">
        <x:v>LI-0073</x:v>
      </x:c>
      <x:c r="B77" t="str">
        <x:v>R-26095</x:v>
      </x:c>
      <x:c r="C77" t="str">
        <x:v>NC-SD-001</x:v>
      </x:c>
      <x:c r="D77" t="str">
        <x:v>Silent-disco headphones, 3-channel</x:v>
      </x:c>
      <x:c r="E77" t="n">
        <x:v>720</x:v>
      </x:c>
      <x:c r="F77" t="str"/>
      <x:c r="G77" s="35" t="n">
        <x:v>12</x:v>
      </x:c>
      <x:c r="H77" s="35" t="n">
        <x:v>3</x:v>
      </x:c>
      <x:c r="I77" s="35" t="n">
        <x:f>E77*G77*H77</x:f>
        <x:v>25920</x:v>
      </x:c>
      <x:c r="J77" t="str">
        <x:v>Unpicked</x:v>
      </x:c>
      <x:c r="K77" t="str">
        <x:v>Tentative hold entered before deposit</x:v>
      </x:c>
    </x:row>
    <x:row r="78">
      <x:c r="A78" t="str">
        <x:v>LI-0074</x:v>
      </x:c>
      <x:c r="B78" t="str">
        <x:v>R-26095</x:v>
      </x:c>
      <x:c r="C78" t="str">
        <x:v>NC-CH-001</x:v>
      </x:c>
      <x:c r="D78" t="str">
        <x:v>Headset charging stations</x:v>
      </x:c>
      <x:c r="E78" t="n">
        <x:v>16</x:v>
      </x:c>
      <x:c r="F78" t="str"/>
      <x:c r="G78" s="35" t="n">
        <x:v>45</x:v>
      </x:c>
      <x:c r="H78" s="35" t="n">
        <x:v>3</x:v>
      </x:c>
      <x:c r="I78" s="35" t="n">
        <x:f>E78*G78*H78</x:f>
        <x:v>2160</x:v>
      </x:c>
      <x:c r="J78" t="str">
        <x:v>Unpicked</x:v>
      </x:c>
      <x:c r="K78" t="str"/>
    </x:row>
    <x:row r="79">
      <x:c r="A79" t="str">
        <x:v>LI-0075</x:v>
      </x:c>
      <x:c r="B79" t="str">
        <x:v>R-26095</x:v>
      </x:c>
      <x:c r="C79" t="str">
        <x:v>NC-SD-002</x:v>
      </x:c>
      <x:c r="D79" t="str">
        <x:v>3-channel transmitters</x:v>
      </x:c>
      <x:c r="E79" t="n">
        <x:v>7</x:v>
      </x:c>
      <x:c r="F79" t="str"/>
      <x:c r="G79" s="35" t="n">
        <x:v>85</x:v>
      </x:c>
      <x:c r="H79" s="35" t="n">
        <x:v>3</x:v>
      </x:c>
      <x:c r="I79" s="35" t="n">
        <x:f>E79*G79*H79</x:f>
        <x:v>1785</x:v>
      </x:c>
      <x:c r="J79" t="str">
        <x:v>Unpicked</x:v>
      </x:c>
      <x:c r="K79" t="str"/>
    </x:row>
    <x:row r="80">
      <x:c r="A80" t="str">
        <x:v>LI-0076</x:v>
      </x:c>
      <x:c r="B80" t="str">
        <x:v>R-26096</x:v>
      </x:c>
      <x:c r="C80" t="str">
        <x:v>NC-AU-001</x:v>
      </x:c>
      <x:c r="D80" t="str">
        <x:v>12-inch powered speaker</x:v>
      </x:c>
      <x:c r="E80" t="n">
        <x:v>10</x:v>
      </x:c>
      <x:c r="F80" t="str"/>
      <x:c r="G80" s="35" t="n">
        <x:v>68</x:v>
      </x:c>
      <x:c r="H80" s="35" t="n">
        <x:v>2</x:v>
      </x:c>
      <x:c r="I80" s="35" t="n">
        <x:f>E80*G80*H80</x:f>
        <x:v>1360</x:v>
      </x:c>
      <x:c r="J80" t="str">
        <x:v>Unpicked</x:v>
      </x:c>
      <x:c r="K80" t="str"/>
    </x:row>
    <x:row r="81">
      <x:c r="A81" t="str">
        <x:v>LI-0077</x:v>
      </x:c>
      <x:c r="B81" t="str">
        <x:v>R-26096</x:v>
      </x:c>
      <x:c r="C81" t="str">
        <x:v>NC-AU-002</x:v>
      </x:c>
      <x:c r="D81" t="str">
        <x:v>18-inch powered subwoofer</x:v>
      </x:c>
      <x:c r="E81" t="n">
        <x:v>8</x:v>
      </x:c>
      <x:c r="F81" t="str"/>
      <x:c r="G81" s="35" t="n">
        <x:v>95</x:v>
      </x:c>
      <x:c r="H81" s="35" t="n">
        <x:v>2</x:v>
      </x:c>
      <x:c r="I81" s="35" t="n">
        <x:f>E81*G81*H81</x:f>
        <x:v>1520</x:v>
      </x:c>
      <x:c r="J81" t="str">
        <x:v>Unpicked</x:v>
      </x:c>
      <x:c r="K81" t="str"/>
    </x:row>
    <x:row r="82">
      <x:c r="A82" t="str">
        <x:v>LI-0078</x:v>
      </x:c>
      <x:c r="B82" t="str">
        <x:v>R-26097</x:v>
      </x:c>
      <x:c r="C82" t="str">
        <x:v>NC-SD-001</x:v>
      </x:c>
      <x:c r="D82" t="str">
        <x:v>Silent-disco headphones, 3-channel</x:v>
      </x:c>
      <x:c r="E82" t="n">
        <x:v>260</x:v>
      </x:c>
      <x:c r="F82" t="str"/>
      <x:c r="G82" s="35" t="n">
        <x:v>12</x:v>
      </x:c>
      <x:c r="H82" s="35" t="n">
        <x:v>2</x:v>
      </x:c>
      <x:c r="I82" s="35" t="n">
        <x:f>E82*G82*H82</x:f>
        <x:v>6240</x:v>
      </x:c>
      <x:c r="J82" t="str">
        <x:v>Canceled</x:v>
      </x:c>
      <x:c r="K82" t="str">
        <x:v>Canceled job; rows remain</x:v>
      </x:c>
    </x:row>
    <x:row r="83">
      <x:c r="A83" t="str">
        <x:v>LI-0079</x:v>
      </x:c>
      <x:c r="B83" t="str">
        <x:v>R-26098</x:v>
      </x:c>
      <x:c r="C83" t="str">
        <x:v>NC-LT-001</x:v>
      </x:c>
      <x:c r="D83" t="str">
        <x:v>LED wash fixture</x:v>
      </x:c>
      <x:c r="E83" t="n">
        <x:v>68</x:v>
      </x:c>
      <x:c r="F83" t="str"/>
      <x:c r="G83" s="35" t="n">
        <x:v>24</x:v>
      </x:c>
      <x:c r="H83" s="35" t="n">
        <x:v>3</x:v>
      </x:c>
      <x:c r="I83" s="35" t="n">
        <x:f>E83*G83*H83</x:f>
        <x:v>4896</x:v>
      </x:c>
      <x:c r="J83" t="str">
        <x:v>Unpicked</x:v>
      </x:c>
      <x:c r="K83" t="str"/>
    </x:row>
    <x:row r="84">
      <x:c r="A84" t="str">
        <x:v>LI-0080</x:v>
      </x:c>
      <x:c r="B84" t="str">
        <x:v>R-26098</x:v>
      </x:c>
      <x:c r="C84" t="str">
        <x:v>NC-FX-003</x:v>
      </x:c>
      <x:c r="D84" t="str">
        <x:v>Inflatable art mushroom</x:v>
      </x:c>
      <x:c r="E84" t="n">
        <x:v>5</x:v>
      </x:c>
      <x:c r="F84" t="str"/>
      <x:c r="G84" s="35" t="n">
        <x:v>180</x:v>
      </x:c>
      <x:c r="H84" s="35" t="n">
        <x:v>3</x:v>
      </x:c>
      <x:c r="I84" s="35" t="n">
        <x:f>E84*G84*H84</x:f>
        <x:v>2700</x:v>
      </x:c>
      <x:c r="J84" t="str">
        <x:v>Unpicked</x:v>
      </x:c>
      <x:c r="K84" t="str"/>
    </x:row>
    <x:row r="85">
      <x:c r="A85" t="str">
        <x:v>LI-0081</x:v>
      </x:c>
      <x:c r="B85" t="str">
        <x:v>R-26099</x:v>
      </x:c>
      <x:c r="C85" t="str">
        <x:v>NC-SD-001</x:v>
      </x:c>
      <x:c r="D85" t="str">
        <x:v>Silent-disco headphones, 3-channel</x:v>
      </x:c>
      <x:c r="E85" t="n">
        <x:v>400</x:v>
      </x:c>
      <x:c r="F85" t="str"/>
      <x:c r="G85" s="35" t="n">
        <x:v>12</x:v>
      </x:c>
      <x:c r="H85" s="35" t="n">
        <x:v>2</x:v>
      </x:c>
      <x:c r="I85" s="35" t="n">
        <x:f>E85*G85*H85</x:f>
        <x:v>9600</x:v>
      </x:c>
      <x:c r="J85" t="str">
        <x:v>Unpicked</x:v>
      </x:c>
      <x:c r="K85" t="str"/>
    </x:row>
    <x:row r="86">
      <x:c r="A86" t="str">
        <x:v>LI-0082</x:v>
      </x:c>
      <x:c r="B86" t="str">
        <x:v>R-26099</x:v>
      </x:c>
      <x:c r="C86" t="str">
        <x:v>NC-CH-001</x:v>
      </x:c>
      <x:c r="D86" t="str">
        <x:v>Headset charging stations</x:v>
      </x:c>
      <x:c r="E86" t="n">
        <x:v>9</x:v>
      </x:c>
      <x:c r="F86" t="str"/>
      <x:c r="G86" s="35" t="n">
        <x:v>45</x:v>
      </x:c>
      <x:c r="H86" s="35" t="n">
        <x:v>2</x:v>
      </x:c>
      <x:c r="I86" s="35" t="n">
        <x:f>E86*G86*H86</x:f>
        <x:v>810</x:v>
      </x:c>
      <x:c r="J86" t="str">
        <x:v>Unpicked</x:v>
      </x:c>
      <x:c r="K86" t="str"/>
    </x:row>
    <x:row r="87">
      <x:c r="A87" t="str">
        <x:v>LI-0083</x:v>
      </x:c>
      <x:c r="B87" t="str">
        <x:v>R-26100</x:v>
      </x:c>
      <x:c r="C87" t="str">
        <x:v>NC-FX-002</x:v>
      </x:c>
      <x:c r="D87" t="str">
        <x:v>Macramé hammock set</x:v>
      </x:c>
      <x:c r="E87" t="n">
        <x:v>20</x:v>
      </x:c>
      <x:c r="F87" t="str"/>
      <x:c r="G87" s="35" t="n">
        <x:v>28</x:v>
      </x:c>
      <x:c r="H87" s="35" t="n">
        <x:v>2</x:v>
      </x:c>
      <x:c r="I87" s="35" t="n">
        <x:f>E87*G87*H87</x:f>
        <x:v>1120</x:v>
      </x:c>
      <x:c r="J87" t="str">
        <x:v>Unpicked</x:v>
      </x:c>
      <x:c r="K87" t="str"/>
    </x:row>
    <x:row r="88">
      <x:c r="A88" t="str">
        <x:v>LI-0084</x:v>
      </x:c>
      <x:c r="B88" t="str">
        <x:v>R-26100</x:v>
      </x:c>
      <x:c r="C88" t="str">
        <x:v>NC-FX-001</x:v>
      </x:c>
      <x:c r="D88" t="str">
        <x:v>LED cube / side table</x:v>
      </x:c>
      <x:c r="E88" t="n">
        <x:v>35</x:v>
      </x:c>
      <x:c r="F88" t="str"/>
      <x:c r="G88" s="35" t="n">
        <x:v>22</x:v>
      </x:c>
      <x:c r="H88" s="35" t="n">
        <x:v>2</x:v>
      </x:c>
      <x:c r="I88" s="35" t="n">
        <x:f>E88*G88*H88</x:f>
        <x:v>1540</x:v>
      </x:c>
      <x:c r="J88" t="str">
        <x:v>Unpicked</x:v>
      </x:c>
      <x:c r="K88" t="str"/>
    </x:row>
    <x:row r="89">
      <x:c r="A89" t="str">
        <x:v>LI-0085</x:v>
      </x:c>
      <x:c r="B89" t="str">
        <x:v>R-26101</x:v>
      </x:c>
      <x:c r="C89" t="str">
        <x:v>NC-AU-004</x:v>
      </x:c>
      <x:c r="D89" t="str">
        <x:v>DJ mixer, 4-channel</x:v>
      </x:c>
      <x:c r="E89" t="n">
        <x:v>2</x:v>
      </x:c>
      <x:c r="F89" t="str"/>
      <x:c r="G89" s="35" t="n">
        <x:v>145</x:v>
      </x:c>
      <x:c r="H89" s="35" t="n">
        <x:v>2</x:v>
      </x:c>
      <x:c r="I89" s="35" t="n">
        <x:f>E89*G89*H89</x:f>
        <x:v>580</x:v>
      </x:c>
      <x:c r="J89" t="str">
        <x:v>Unpicked</x:v>
      </x:c>
      <x:c r="K89" t="str"/>
    </x:row>
    <x:row r="90">
      <x:c r="A90" t="str">
        <x:v>LI-0086</x:v>
      </x:c>
      <x:c r="B90" t="str">
        <x:v>R-26101</x:v>
      </x:c>
      <x:c r="C90" t="str">
        <x:v>NC-AU-003</x:v>
      </x:c>
      <x:c r="D90" t="str">
        <x:v>DJ monitor pair</x:v>
      </x:c>
      <x:c r="E90" t="n">
        <x:v>2</x:v>
      </x:c>
      <x:c r="F90" t="str"/>
      <x:c r="G90" s="35" t="n">
        <x:v>80</x:v>
      </x:c>
      <x:c r="H90" s="35" t="n">
        <x:v>2</x:v>
      </x:c>
      <x:c r="I90" s="35" t="n">
        <x:f>E90*G90*H90</x:f>
        <x:v>320</x:v>
      </x:c>
      <x:c r="J90" t="str">
        <x:v>Unpicked</x:v>
      </x:c>
      <x:c r="K90" t="str"/>
    </x:row>
    <x:row r="91">
      <x:c r="A91" t="str">
        <x:v>LI-0087</x:v>
      </x:c>
      <x:c r="B91" t="str">
        <x:v>R-26102</x:v>
      </x:c>
      <x:c r="C91" t="str">
        <x:v>NC-SD-001</x:v>
      </x:c>
      <x:c r="D91" t="str">
        <x:v>Silent-disco headphones, 3-channel</x:v>
      </x:c>
      <x:c r="E91" t="n">
        <x:v>620</x:v>
      </x:c>
      <x:c r="F91" t="str"/>
      <x:c r="G91" s="35" t="n">
        <x:v>12</x:v>
      </x:c>
      <x:c r="H91" s="35" t="n">
        <x:v>2</x:v>
      </x:c>
      <x:c r="I91" s="35" t="n">
        <x:f>E91*G91*H91</x:f>
        <x:v>14880</x:v>
      </x:c>
      <x:c r="J91" t="str">
        <x:v>Unpicked</x:v>
      </x:c>
      <x:c r="K91" t="str"/>
    </x:row>
    <x:row r="92">
      <x:c r="A92" t="str">
        <x:v>LI-0088</x:v>
      </x:c>
      <x:c r="B92" t="str">
        <x:v>R-26102</x:v>
      </x:c>
      <x:c r="C92" t="str">
        <x:v>NC-LT-002</x:v>
      </x:c>
      <x:c r="D92" t="str">
        <x:v>Moving-head beam fixture</x:v>
      </x:c>
      <x:c r="E92" t="n">
        <x:v>18</x:v>
      </x:c>
      <x:c r="F92" t="str"/>
      <x:c r="G92" s="35" t="n">
        <x:v>95</x:v>
      </x:c>
      <x:c r="H92" s="35" t="n">
        <x:v>2</x:v>
      </x:c>
      <x:c r="I92" s="35" t="n">
        <x:f>E92*G92*H92</x:f>
        <x:v>3420</x:v>
      </x:c>
      <x:c r="J92" t="str">
        <x:v>Unpicked</x:v>
      </x:c>
      <x:c r="K92" t="str"/>
    </x:row>
    <x:row r="93">
      <x:c r="A93" t="str">
        <x:v>LI-0089</x:v>
      </x:c>
      <x:c r="B93" t="str">
        <x:v>R-26103</x:v>
      </x:c>
      <x:c r="C93" t="str">
        <x:v>NC-SD-001</x:v>
      </x:c>
      <x:c r="D93" t="str">
        <x:v>Silent-disco headphones, 3-channel</x:v>
      </x:c>
      <x:c r="E93" t="n">
        <x:v>780</x:v>
      </x:c>
      <x:c r="F93" t="str"/>
      <x:c r="G93" s="35" t="n">
        <x:v>12</x:v>
      </x:c>
      <x:c r="H93" s="35" t="n">
        <x:v>3</x:v>
      </x:c>
      <x:c r="I93" s="35" t="n">
        <x:f>E93*G93*H93</x:f>
        <x:v>28080</x:v>
      </x:c>
      <x:c r="J93" t="str">
        <x:v>Unpicked</x:v>
      </x:c>
      <x:c r="K93" t="str"/>
    </x:row>
    <x:row r="94">
      <x:c r="A94" t="str">
        <x:v>LI-0090</x:v>
      </x:c>
      <x:c r="B94" t="str">
        <x:v>R-26103</x:v>
      </x:c>
      <x:c r="C94" t="str">
        <x:v>NC-CH-001</x:v>
      </x:c>
      <x:c r="D94" t="str">
        <x:v>Headset charging stations</x:v>
      </x:c>
      <x:c r="E94" t="n">
        <x:v>16</x:v>
      </x:c>
      <x:c r="F94" t="str"/>
      <x:c r="G94" s="35" t="n">
        <x:v>45</x:v>
      </x:c>
      <x:c r="H94" s="35" t="n">
        <x:v>3</x:v>
      </x:c>
      <x:c r="I94" s="35" t="n">
        <x:f>E94*G94*H94</x:f>
        <x:v>2160</x:v>
      </x:c>
      <x:c r="J94" t="str">
        <x:v>Unpicked</x:v>
      </x:c>
      <x:c r="K94" t="str"/>
    </x:row>
    <x:row r="95">
      <x:c r="A95" t="str">
        <x:v>LI-0091</x:v>
      </x:c>
      <x:c r="B95" t="str">
        <x:v>R-26104</x:v>
      </x:c>
      <x:c r="C95" t="str">
        <x:v>NC-SD-001</x:v>
      </x:c>
      <x:c r="D95" t="str">
        <x:v>Silent-disco headphones, 3-channel</x:v>
      </x:c>
      <x:c r="E95" t="n">
        <x:v>300</x:v>
      </x:c>
      <x:c r="F95" t="str"/>
      <x:c r="G95" s="35" t="n">
        <x:v>12</x:v>
      </x:c>
      <x:c r="H95" s="35" t="n">
        <x:v>2</x:v>
      </x:c>
      <x:c r="I95" s="35" t="n">
        <x:f>E95*G95*H95</x:f>
        <x:v>7200</x:v>
      </x:c>
      <x:c r="J95" t="str">
        <x:v>Unpicked</x:v>
      </x:c>
      <x:c r="K95" t="str"/>
    </x:row>
    <x:row r="96">
      <x:c r="A96" t="str">
        <x:v>LI-0092</x:v>
      </x:c>
      <x:c r="B96" t="str">
        <x:v>R-26104</x:v>
      </x:c>
      <x:c r="C96" t="str">
        <x:v>NC-LT-001</x:v>
      </x:c>
      <x:c r="D96" t="str">
        <x:v>LED wash fixture</x:v>
      </x:c>
      <x:c r="E96" t="n">
        <x:v>30</x:v>
      </x:c>
      <x:c r="F96" t="str"/>
      <x:c r="G96" s="35" t="n">
        <x:v>24</x:v>
      </x:c>
      <x:c r="H96" s="35" t="n">
        <x:v>2</x:v>
      </x:c>
      <x:c r="I96" s="35" t="n">
        <x:f>E96*G96*H96</x:f>
        <x:v>1440</x:v>
      </x:c>
      <x:c r="J96" t="str">
        <x:v>Unpicked</x:v>
      </x:c>
      <x:c r="K96" t="str"/>
    </x:row>
  </x:sheetData>
  <x:mergeCells>
    <x:mergeCell ref="A1:K1"/>
    <x:mergeCell ref="A2:K2"/>
  </x:mergeCells>
  <x:conditionalFormatting sqref="F5:F96">
    <x:cfRule type="containsBlanks" dxfId="3" priority="1"/>
  </x:conditionalFormatting>
  <x:conditionalFormatting sqref="J5:J96">
    <x:cfRule type="containsText" dxfId="4" priority="2" operator="containsText" text="Canceled"/>
  </x:conditionalFormatting>
  <x:pageMargins left="0.7" right="0.7" top="0.75" bottom="0.75" header="0.3" footer="0.3"/>
  <x:tableParts count="1">
    <x:tablePart xmlns:r="http://schemas.openxmlformats.org/officeDocument/2006/relationships" r:id="Re87c5a9a995849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4" hidden="0" customWidth="1"/>
    <x:col min="5" max="5" width="34" hidden="0" customWidth="1"/>
    <x:col min="6" max="6" width="11" hidden="0" customWidth="1"/>
    <x:col min="7" max="7" width="14" hidden="0" customWidth="1"/>
    <x:col min="8" max="8" width="13" hidden="0" customWidth="1"/>
    <x:col min="9" max="9" width="16" hidden="0" customWidth="1"/>
    <x:col min="10" max="10" width="16" hidden="0" customWidth="1"/>
    <x:col min="11" max="11" width="54" hidden="0" customWidth="1"/>
  </x:cols>
  <x:sheetData>
    <x:row r="1" ht="28" customHeight="1">
      <x:c r="A1" s="4" t="str">
        <x:v>Returns &amp; Issues Log</x:v>
      </x:c>
    </x:row>
    <x:row r="2" ht="24" customHeight="1">
      <x:c r="A2" s="7" t="str">
        <x:v>Warehouse reconciliation is recorded separately; blank rental IDs and inconsistent dates are normal legacy behavior.</x:v>
      </x:c>
    </x:row>
    <x:row r="4">
      <x:c r="A4" s="28" t="str">
        <x:v>Issue ID</x:v>
      </x:c>
      <x:c r="B4" s="33" t="str">
        <x:v>Return Date</x:v>
      </x:c>
      <x:c r="C4" s="33" t="str">
        <x:v>Rental ID</x:v>
      </x:c>
      <x:c r="D4" s="33" t="str">
        <x:v>Item ID</x:v>
      </x:c>
      <x:c r="E4" s="33" t="str">
        <x:v>Item Name</x:v>
      </x:c>
      <x:c r="F4" s="33" t="str">
        <x:v>Qty Sent</x:v>
      </x:c>
      <x:c r="G4" s="33" t="str">
        <x:v>Qty Returned</x:v>
      </x:c>
      <x:c r="H4" s="33" t="str">
        <x:v>Qty Missing</x:v>
      </x:c>
      <x:c r="I4" s="33" t="str">
        <x:v>Condition</x:v>
      </x:c>
      <x:c r="J4" s="33" t="str">
        <x:v>Billing Status</x:v>
      </x:c>
      <x:c r="K4" s="29" t="str">
        <x:v>Warehouse / Billing Notes</x:v>
      </x:c>
    </x:row>
    <x:row r="5">
      <x:c r="A5" t="str">
        <x:v>ISS-001</x:v>
      </x:c>
      <x:c r="B5" s="36" t="n">
        <x:v>46153</x:v>
      </x:c>
      <x:c r="C5" t="str">
        <x:v>R-26061</x:v>
      </x:c>
      <x:c r="D5" t="str">
        <x:v>NC-AU-001</x:v>
      </x:c>
      <x:c r="E5" t="str">
        <x:v>12-inch powered speaker</x:v>
      </x:c>
      <x:c r="F5" t="n">
        <x:v>4</x:v>
      </x:c>
      <x:c r="G5" t="n">
        <x:v>3</x:v>
      </x:c>
      <x:c r="H5" t="n">
        <x:v>1</x:v>
      </x:c>
      <x:c r="I5" t="str">
        <x:v>Late return</x:v>
      </x:c>
      <x:c r="J5" t="str">
        <x:v>Open</x:v>
      </x:c>
      <x:c r="K5" t="str">
        <x:v>One speaker returned May 13; no late fee entered</x:v>
      </x:c>
    </x:row>
    <x:row r="6">
      <x:c r="A6" t="str">
        <x:v>ISS-002</x:v>
      </x:c>
      <x:c r="B6" s="36" t="n">
        <x:v>46161</x:v>
      </x:c>
      <x:c r="C6" t="str">
        <x:v>R-26062</x:v>
      </x:c>
      <x:c r="D6" t="str">
        <x:v>NC-SD-001</x:v>
      </x:c>
      <x:c r="E6" t="str">
        <x:v>Silent-disco headphones, 3-channel</x:v>
      </x:c>
      <x:c r="F6" t="n">
        <x:v>280</x:v>
      </x:c>
      <x:c r="G6" t="n">
        <x:v>276</x:v>
      </x:c>
      <x:c r="H6" t="n">
        <x:v>4</x:v>
      </x:c>
      <x:c r="I6" t="str">
        <x:v>Damaged</x:v>
      </x:c>
      <x:c r="J6" t="str">
        <x:v>Billed</x:v>
      </x:c>
      <x:c r="K6" t="str">
        <x:v>Four headsets have cracked headbands; invoice draft exists</x:v>
      </x:c>
    </x:row>
    <x:row r="7">
      <x:c r="A7" t="str">
        <x:v>ISS-003</x:v>
      </x:c>
      <x:c r="B7" s="36" t="n">
        <x:v>46167</x:v>
      </x:c>
      <x:c r="C7" t="str">
        <x:v>R-26063</x:v>
      </x:c>
      <x:c r="D7" t="str">
        <x:v>NC-SD-001</x:v>
      </x:c>
      <x:c r="E7" t="str">
        <x:v>Silent-disco headphones, 3-channel</x:v>
      </x:c>
      <x:c r="F7" t="n">
        <x:v>340</x:v>
      </x:c>
      <x:c r="G7" t="n">
        <x:v>334</x:v>
      </x:c>
      <x:c r="H7" t="n">
        <x:v>6</x:v>
      </x:c>
      <x:c r="I7" t="str">
        <x:v>Missing</x:v>
      </x:c>
      <x:c r="J7" t="str">
        <x:v>Open</x:v>
      </x:c>
      <x:c r="K7" t="str">
        <x:v>Customer says six were in a different case</x:v>
      </x:c>
    </x:row>
    <x:row r="8">
      <x:c r="A8" t="str">
        <x:v>ISS-004</x:v>
      </x:c>
      <x:c r="B8" s="36" t="n">
        <x:v>46173</x:v>
      </x:c>
      <x:c r="C8" t="str">
        <x:v>R-26064</x:v>
      </x:c>
      <x:c r="D8" t="str">
        <x:v>NC-CH-001</x:v>
      </x:c>
      <x:c r="E8" t="str">
        <x:v>Headset charging stations</x:v>
      </x:c>
      <x:c r="F8" t="n">
        <x:v>9</x:v>
      </x:c>
      <x:c r="G8" t="n">
        <x:v>8</x:v>
      </x:c>
      <x:c r="H8" t="n">
        <x:v>1</x:v>
      </x:c>
      <x:c r="I8" t="str">
        <x:v>Missing</x:v>
      </x:c>
      <x:c r="J8" t="str">
        <x:v>Open</x:v>
      </x:c>
      <x:c r="K8" t="str">
        <x:v>Possibly left in venue green room</x:v>
      </x:c>
    </x:row>
    <x:row r="9">
      <x:c r="A9" t="str">
        <x:v>ISS-005</x:v>
      </x:c>
      <x:c r="B9" s="36" t="n">
        <x:v>46182</x:v>
      </x:c>
      <x:c r="C9" t="str">
        <x:v>R-26065</x:v>
      </x:c>
      <x:c r="D9" t="str">
        <x:v>NC-OP-003</x:v>
      </x:c>
      <x:c r="E9" t="str">
        <x:v>Steel crowd-control barricade</x:v>
      </x:c>
      <x:c r="F9" t="n">
        <x:v>80</x:v>
      </x:c>
      <x:c r="G9" t="n">
        <x:v>77</x:v>
      </x:c>
      <x:c r="H9" t="n">
        <x:v>3</x:v>
      </x:c>
      <x:c r="I9" t="str">
        <x:v>Damaged</x:v>
      </x:c>
      <x:c r="J9" t="str">
        <x:v>Waived</x:v>
      </x:c>
      <x:c r="K9" t="str">
        <x:v>Bent feet; warehouse marked scrap but Inventory not updated</x:v>
      </x:c>
    </x:row>
    <x:row r="10">
      <x:c r="A10" t="str">
        <x:v>ISS-006</x:v>
      </x:c>
      <x:c r="B10" s="36" t="n">
        <x:v>46202</x:v>
      </x:c>
      <x:c r="C10" t="str">
        <x:v>R-26069</x:v>
      </x:c>
      <x:c r="D10" t="str">
        <x:v>NC-VD-001</x:v>
      </x:c>
      <x:c r="E10" t="str">
        <x:v>LED video wall panel, 2.9mm</x:v>
      </x:c>
      <x:c r="F10" t="n">
        <x:v>32</x:v>
      </x:c>
      <x:c r="G10" t="n">
        <x:v>31</x:v>
      </x:c>
      <x:c r="H10" t="n">
        <x:v>1</x:v>
      </x:c>
      <x:c r="I10" t="str">
        <x:v>Damaged</x:v>
      </x:c>
      <x:c r="J10" t="str">
        <x:v>Open</x:v>
      </x:c>
      <x:c r="K10" t="str">
        <x:v>Panel powers on but has dead pixels</x:v>
      </x:c>
    </x:row>
    <x:row r="11">
      <x:c r="A11" t="str">
        <x:v>ISS-007</x:v>
      </x:c>
      <x:c r="B11" s="36" t="n">
        <x:v>46209</x:v>
      </x:c>
      <x:c r="C11" t="str">
        <x:v>R-26071</x:v>
      </x:c>
      <x:c r="D11" t="str">
        <x:v>NC-SD-001</x:v>
      </x:c>
      <x:c r="E11" t="str">
        <x:v>Silent-disco headphones, 3-channel</x:v>
      </x:c>
      <x:c r="F11" t="n">
        <x:v>550</x:v>
      </x:c>
      <x:c r="G11" t="n">
        <x:v>544</x:v>
      </x:c>
      <x:c r="H11" t="n">
        <x:v>6</x:v>
      </x:c>
      <x:c r="I11" t="str">
        <x:v>Missing</x:v>
      </x:c>
      <x:c r="J11" t="str">
        <x:v>Open</x:v>
      </x:c>
      <x:c r="K11" t="str">
        <x:v>Count sheet has pencil note “maybe in van”</x:v>
      </x:c>
    </x:row>
    <x:row r="12">
      <x:c r="A12" t="str">
        <x:v>ISS-008</x:v>
      </x:c>
      <x:c r="B12" s="36" t="n">
        <x:v>46216</x:v>
      </x:c>
      <x:c r="C12" t="str">
        <x:v>R-26072</x:v>
      </x:c>
      <x:c r="D12" t="str">
        <x:v>NC-LT-002</x:v>
      </x:c>
      <x:c r="E12" t="str">
        <x:v>Moving-head beam fixture</x:v>
      </x:c>
      <x:c r="F12" t="n">
        <x:v>8</x:v>
      </x:c>
      <x:c r="G12" t="n">
        <x:v>7</x:v>
      </x:c>
      <x:c r="H12" t="n">
        <x:v>1</x:v>
      </x:c>
      <x:c r="I12" t="str">
        <x:v>Damaged</x:v>
      </x:c>
      <x:c r="J12" t="str">
        <x:v>Billed</x:v>
      </x:c>
      <x:c r="K12" t="str">
        <x:v>Bent yoke; customer acknowledged</x:v>
      </x:c>
    </x:row>
    <x:row r="13">
      <x:c r="A13" t="str">
        <x:v>ISS-009</x:v>
      </x:c>
      <x:c r="B13" s="36" t="n">
        <x:v>46222</x:v>
      </x:c>
      <x:c r="C13" t="str">
        <x:v>R-26074</x:v>
      </x:c>
      <x:c r="D13" t="str">
        <x:v>NC-LT-001</x:v>
      </x:c>
      <x:c r="E13" t="str">
        <x:v>LED wash fixture</x:v>
      </x:c>
      <x:c r="F13" t="n">
        <x:v>18</x:v>
      </x:c>
      <x:c r="G13" t="n">
        <x:v>16</x:v>
      </x:c>
      <x:c r="H13" t="n">
        <x:v>2</x:v>
      </x:c>
      <x:c r="I13" t="str">
        <x:v>Missing</x:v>
      </x:c>
      <x:c r="J13" t="str">
        <x:v>Open</x:v>
      </x:c>
      <x:c r="K13" t="str">
        <x:v>Venue security searching loading dock</x:v>
      </x:c>
    </x:row>
    <x:row r="14">
      <x:c r="A14" t="str">
        <x:v>ISS-010</x:v>
      </x:c>
      <x:c r="B14" s="36" t="n">
        <x:v>46229</x:v>
      </x:c>
      <x:c r="C14" t="str">
        <x:v>R-26076</x:v>
      </x:c>
      <x:c r="D14" t="str">
        <x:v>NC-AU-001</x:v>
      </x:c>
      <x:c r="E14" t="str">
        <x:v>12-inch powered speaker</x:v>
      </x:c>
      <x:c r="F14" t="n">
        <x:v>6</x:v>
      </x:c>
      <x:c r="G14" t="n">
        <x:v>6</x:v>
      </x:c>
      <x:c r="H14" t="n">
        <x:v>0</x:v>
      </x:c>
      <x:c r="I14" t="str">
        <x:v>Damaged</x:v>
      </x:c>
      <x:c r="J14" t="str">
        <x:v>Closed</x:v>
      </x:c>
      <x:c r="K14" t="str">
        <x:v>One grille dented; no charge</x:v>
      </x:c>
    </x:row>
    <x:row r="15">
      <x:c r="A15" t="str">
        <x:v>ISS-011</x:v>
      </x:c>
      <x:c r="B15" s="36" t="n">
        <x:v>46238</x:v>
      </x:c>
      <x:c r="C15" t="str">
        <x:v>R-26077</x:v>
      </x:c>
      <x:c r="D15" t="str">
        <x:v>NC-SD-001</x:v>
      </x:c>
      <x:c r="E15" t="str">
        <x:v>Silent-disco headphones, 3-channel</x:v>
      </x:c>
      <x:c r="F15" t="n">
        <x:v>480</x:v>
      </x:c>
      <x:c r="G15" t="n">
        <x:v>475</x:v>
      </x:c>
      <x:c r="H15" t="n">
        <x:v>5</x:v>
      </x:c>
      <x:c r="I15" t="str">
        <x:v>Missing</x:v>
      </x:c>
      <x:c r="J15" t="str">
        <x:v>Open</x:v>
      </x:c>
      <x:c r="K15" t="str">
        <x:v>Unclear whether this is after event or packing variance</x:v>
      </x:c>
    </x:row>
    <x:row r="16">
      <x:c r="A16" t="str">
        <x:v>ISS-012</x:v>
      </x:c>
      <x:c r="B16" s="36" t="n">
        <x:v>46245</x:v>
      </x:c>
      <x:c r="C16" t="str">
        <x:v>R-26079</x:v>
      </x:c>
      <x:c r="D16" t="str">
        <x:v>NC-SD-002</x:v>
      </x:c>
      <x:c r="E16" t="str">
        <x:v>3-channel transmitters</x:v>
      </x:c>
      <x:c r="F16" t="n">
        <x:v>6</x:v>
      </x:c>
      <x:c r="G16" t="n">
        <x:v>5</x:v>
      </x:c>
      <x:c r="H16" t="n">
        <x:v>1</x:v>
      </x:c>
      <x:c r="I16" t="str">
        <x:v>Missing</x:v>
      </x:c>
      <x:c r="J16" t="str">
        <x:v>Billed</x:v>
      </x:c>
      <x:c r="K16" t="str">
        <x:v>Replacement transmitter billed</x:v>
      </x:c>
    </x:row>
    <x:row r="17">
      <x:c r="A17" t="str">
        <x:v>ISS-013</x:v>
      </x:c>
      <x:c r="B17" s="36" t="n">
        <x:v>46250</x:v>
      </x:c>
      <x:c r="C17" t="str">
        <x:v>R-26080</x:v>
      </x:c>
      <x:c r="D17" t="str">
        <x:v>NC-LT-001</x:v>
      </x:c>
      <x:c r="E17" t="str">
        <x:v>LED wash fixture</x:v>
      </x:c>
      <x:c r="F17" t="n">
        <x:v>48</x:v>
      </x:c>
      <x:c r="G17" t="n">
        <x:v>45</x:v>
      </x:c>
      <x:c r="H17" t="n">
        <x:v>3</x:v>
      </x:c>
      <x:c r="I17" t="str">
        <x:v>Damaged</x:v>
      </x:c>
      <x:c r="J17" t="str">
        <x:v>Open</x:v>
      </x:c>
      <x:c r="K17" t="str">
        <x:v>Moisture in battery bays</x:v>
      </x:c>
    </x:row>
    <x:row r="18">
      <x:c r="A18" t="str">
        <x:v>ISS-014</x:v>
      </x:c>
      <x:c r="B18" s="36" t="n">
        <x:v>46252</x:v>
      </x:c>
      <x:c r="C18" t="str">
        <x:v>R-26081</x:v>
      </x:c>
      <x:c r="D18" t="str">
        <x:v>NC-VD-001</x:v>
      </x:c>
      <x:c r="E18" t="str">
        <x:v>LED video wall panel, 2.9mm</x:v>
      </x:c>
      <x:c r="F18" t="n">
        <x:v>24</x:v>
      </x:c>
      <x:c r="G18" t="n">
        <x:v>24</x:v>
      </x:c>
      <x:c r="H18" t="n">
        <x:v>0</x:v>
      </x:c>
      <x:c r="I18" t="str">
        <x:v>Damaged</x:v>
      </x:c>
      <x:c r="J18" t="str">
        <x:v>Closed</x:v>
      </x:c>
      <x:c r="K18" t="str">
        <x:v>Two panels require color calibration</x:v>
      </x:c>
    </x:row>
    <x:row r="19">
      <x:c r="A19" t="str">
        <x:v>ISS-015</x:v>
      </x:c>
      <x:c r="B19" s="36" t="n">
        <x:v>46258</x:v>
      </x:c>
      <x:c r="C19" t="str">
        <x:v>R-26083</x:v>
      </x:c>
      <x:c r="D19" t="str">
        <x:v>NC-OP-002</x:v>
      </x:c>
      <x:c r="E19" t="str">
        <x:v>Portable concession counter</x:v>
      </x:c>
      <x:c r="F19" t="n">
        <x:v>4</x:v>
      </x:c>
      <x:c r="G19" t="n">
        <x:v>3</x:v>
      </x:c>
      <x:c r="H19" t="n">
        <x:v>1</x:v>
      </x:c>
      <x:c r="I19" t="str">
        <x:v>Missing</x:v>
      </x:c>
      <x:c r="J19" t="str">
        <x:v>Open</x:v>
      </x:c>
      <x:c r="K19" t="str">
        <x:v>Canopy frame missing; may be in customer storage</x:v>
      </x:c>
    </x:row>
    <x:row r="20">
      <x:c r="A20" t="str">
        <x:v>ISS-016</x:v>
      </x:c>
      <x:c r="B20" s="36" t="n">
        <x:v>46265</x:v>
      </x:c>
      <x:c r="C20" t="str">
        <x:v>R-26084</x:v>
      </x:c>
      <x:c r="D20" t="str">
        <x:v>NC-SD-001</x:v>
      </x:c>
      <x:c r="E20" t="str">
        <x:v>Silent-disco headphones, 3-channel</x:v>
      </x:c>
      <x:c r="F20" t="n">
        <x:v>650</x:v>
      </x:c>
      <x:c r="G20" t="str"/>
      <x:c r="H20" t="str"/>
      <x:c r="I20" t="str">
        <x:v>Not Returned</x:v>
      </x:c>
      <x:c r="J20" t="str">
        <x:v>Pending</x:v>
      </x:c>
      <x:c r="K20" t="str">
        <x:v>Job still out; staging count copied in early</x:v>
      </x:c>
    </x:row>
    <x:row r="21">
      <x:c r="A21" t="str">
        <x:v>ISS-017</x:v>
      </x:c>
      <x:c r="B21" s="36" t="n">
        <x:v>46265</x:v>
      </x:c>
      <x:c r="C21" t="str">
        <x:v>R-26084</x:v>
      </x:c>
      <x:c r="D21" t="str">
        <x:v>NC-ST-001</x:v>
      </x:c>
      <x:c r="E21" t="str">
        <x:v>4 ft x 4 ft stage deck</x:v>
      </x:c>
      <x:c r="F21" t="n">
        <x:v>30</x:v>
      </x:c>
      <x:c r="G21" t="str"/>
      <x:c r="H21" t="str"/>
      <x:c r="I21" t="str">
        <x:v>Not Returned</x:v>
      </x:c>
      <x:c r="J21" t="str">
        <x:v>Pending</x:v>
      </x:c>
      <x:c r="K21" t="str">
        <x:v>Return scheduled Sep 1</x:v>
      </x:c>
    </x:row>
    <x:row r="22">
      <x:c r="A22" t="str">
        <x:v>ISS-018</x:v>
      </x:c>
      <x:c r="B22" s="36" t="n">
        <x:v>46264</x:v>
      </x:c>
      <x:c r="C22" t="str">
        <x:v>R-26085</x:v>
      </x:c>
      <x:c r="D22" t="str">
        <x:v>NC-AU-002</x:v>
      </x:c>
      <x:c r="E22" t="str">
        <x:v>18-inch powered subwoofer</x:v>
      </x:c>
      <x:c r="F22" t="n">
        <x:v>6</x:v>
      </x:c>
      <x:c r="G22" t="str"/>
      <x:c r="H22" t="str"/>
      <x:c r="I22" t="str">
        <x:v>Not Returned</x:v>
      </x:c>
      <x:c r="J22" t="str">
        <x:v>Pending</x:v>
      </x:c>
      <x:c r="K22" t="str">
        <x:v>Event ends tonight</x:v>
      </x:c>
    </x:row>
    <x:row r="23">
      <x:c r="A23" t="str">
        <x:v>ISS-019</x:v>
      </x:c>
      <x:c r="B23" s="36" t="n">
        <x:v>46261</x:v>
      </x:c>
      <x:c r="C23" t="str"/>
      <x:c r="D23" t="str">
        <x:v>NC-SD-001</x:v>
      </x:c>
      <x:c r="E23" t="str">
        <x:v>Silent-disco headphones, 3-channel</x:v>
      </x:c>
      <x:c r="F23" t="str"/>
      <x:c r="G23" t="str"/>
      <x:c r="H23" t="n">
        <x:v>3</x:v>
      </x:c>
      <x:c r="I23" t="str">
        <x:v>Found loose</x:v>
      </x:c>
      <x:c r="J23" t="str">
        <x:v>N/A</x:v>
      </x:c>
      <x:c r="K23" t="str">
        <x:v>Three unlabelled headsets in repair cage; no rental matched</x:v>
      </x:c>
    </x:row>
    <x:row r="24">
      <x:c r="A24" t="str">
        <x:v>ISS-020</x:v>
      </x:c>
      <x:c r="B24" s="36" t="n">
        <x:v>46262</x:v>
      </x:c>
      <x:c r="C24" t="str">
        <x:v>R-26079</x:v>
      </x:c>
      <x:c r="D24" t="str">
        <x:v>NC-FX-003</x:v>
      </x:c>
      <x:c r="E24" t="str">
        <x:v>Inflatable art mushroom</x:v>
      </x:c>
      <x:c r="F24" t="n">
        <x:v>4</x:v>
      </x:c>
      <x:c r="G24" t="n">
        <x:v>3</x:v>
      </x:c>
      <x:c r="H24" t="n">
        <x:v>1</x:v>
      </x:c>
      <x:c r="I24" t="str">
        <x:v>Damaged</x:v>
      </x:c>
      <x:c r="J24" t="str">
        <x:v>Open</x:v>
      </x:c>
      <x:c r="K24" t="str">
        <x:v>Patch failed after return; count differs from dispatch note</x:v>
      </x:c>
    </x:row>
    <x:row r="25">
      <x:c r="A25" t="str">
        <x:v>ISS-021</x:v>
      </x:c>
      <x:c r="B25" s="36" t="n">
        <x:v>46259</x:v>
      </x:c>
      <x:c r="C25" t="str">
        <x:v>R-26083</x:v>
      </x:c>
      <x:c r="D25" t="str">
        <x:v>NC-FX-001</x:v>
      </x:c>
      <x:c r="E25" t="str">
        <x:v>LED cube / side table</x:v>
      </x:c>
      <x:c r="F25" t="n">
        <x:v>20</x:v>
      </x:c>
      <x:c r="G25" t="n">
        <x:v>18</x:v>
      </x:c>
      <x:c r="H25" t="n">
        <x:v>2</x:v>
      </x:c>
      <x:c r="I25" t="str">
        <x:v>Missing</x:v>
      </x:c>
      <x:c r="J25" t="str">
        <x:v>Open</x:v>
      </x:c>
      <x:c r="K25" t="str">
        <x:v>Customer claims both returned; dock camera unavailable</x:v>
      </x:c>
    </x:row>
    <x:row r="26">
      <x:c r="A26" t="str">
        <x:v>ISS-022</x:v>
      </x:c>
      <x:c r="B26" s="36" t="n">
        <x:v>46260</x:v>
      </x:c>
      <x:c r="C26" t="str">
        <x:v>R-26082</x:v>
      </x:c>
      <x:c r="D26" t="str">
        <x:v>NC-AU-002</x:v>
      </x:c>
      <x:c r="E26" t="str">
        <x:v>18-inch powered subwoofer</x:v>
      </x:c>
      <x:c r="F26" t="n">
        <x:v>2</x:v>
      </x:c>
      <x:c r="G26" t="n">
        <x:v>2</x:v>
      </x:c>
      <x:c r="H26" t="n">
        <x:v>0</x:v>
      </x:c>
      <x:c r="I26" t="str">
        <x:v>Damaged</x:v>
      </x:c>
      <x:c r="J26" t="str">
        <x:v>Waived</x:v>
      </x:c>
      <x:c r="K26" t="str">
        <x:v>Wheel set cracked; repair ticket not linked</x:v>
      </x:c>
    </x:row>
    <x:row r="27">
      <x:c r="A27" t="str">
        <x:v>ISS-023</x:v>
      </x:c>
      <x:c r="B27" s="36" t="n">
        <x:v>46264</x:v>
      </x:c>
      <x:c r="C27" t="str">
        <x:v>R-26085</x:v>
      </x:c>
      <x:c r="D27" t="str">
        <x:v>NC-SD-002</x:v>
      </x:c>
      <x:c r="E27" t="str">
        <x:v>3-channel transmitters</x:v>
      </x:c>
      <x:c r="F27" t="n">
        <x:v>2</x:v>
      </x:c>
      <x:c r="G27" t="str"/>
      <x:c r="H27" t="str"/>
      <x:c r="I27" t="str">
        <x:v>Not Returned</x:v>
      </x:c>
      <x:c r="J27" t="str">
        <x:v>Pending</x:v>
      </x:c>
      <x:c r="K27" t="str">
        <x:v>No receiving count yet</x:v>
      </x:c>
    </x:row>
  </x:sheetData>
  <x:mergeCells>
    <x:mergeCell ref="A1:K1"/>
    <x:mergeCell ref="A2:K2"/>
  </x:mergeCells>
  <x:conditionalFormatting sqref="H5:H27">
    <x:cfRule type="cellIs" dxfId="5" priority="1" operator="greaterThan">
      <x:formula>0</x:formula>
    </x:cfRule>
  </x:conditionalFormatting>
  <x:conditionalFormatting sqref="J5:J27">
    <x:cfRule type="containsText" dxfId="6" priority="2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be839645008a46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13" hidden="0" customWidth="1"/>
    <x:col min="4" max="4" width="13" hidden="0" customWidth="1"/>
    <x:col min="5" max="5" width="15" hidden="0" customWidth="1"/>
    <x:col min="6" max="6" width="15" hidden="0" customWidth="1"/>
    <x:col min="7" max="7" width="11" hidden="0" customWidth="1"/>
    <x:col min="8" max="8" width="18" hidden="0" customWidth="1"/>
    <x:col min="9" max="9" width="28" hidden="0" customWidth="1"/>
    <x:col min="10" max="10" width="19" hidden="0" customWidth="1"/>
  </x:cols>
  <x:sheetData>
    <x:row r="1" ht="28" customHeight="1">
      <x:c r="A1" s="4" t="str">
        <x:v>Manual Availability Check</x:v>
      </x:c>
    </x:row>
    <x:row r="2" ht="24" customHeight="1">
      <x:c r="A2" s="7" t="str">
        <x:v>Sales worksheet. Change the yellow input cells, then review the reservation lines below. This intentionally excludes tentative bookings.</x:v>
      </x:c>
    </x:row>
    <x:row r="4">
      <x:c r="A4" s="37" t="str">
        <x:v>Requested Item ID</x:v>
      </x:c>
      <x:c r="B4" s="38" t="str">
        <x:v>NC-SD-001</x:v>
      </x:c>
      <x:c r="D4" s="28" t="str">
        <x:v>Legacy Result</x:v>
      </x:c>
      <x:c r="E4" s="29" t="str">
        <x:v>Value</x:v>
      </x:c>
    </x:row>
    <x:row r="5">
      <x:c r="A5" s="37" t="str">
        <x:v>Requested Start Date</x:v>
      </x:c>
      <x:c r="B5" s="39" t="n">
        <x:v>46270</x:v>
      </x:c>
      <x:c r="D5" t="str">
        <x:v>Qty owned</x:v>
      </x:c>
      <x:c r="E5" t="n">
        <x:f>SUMIF('Inventory'!$A$5:$A$28,$B$4,'Inventory'!$E$5:$E$28)</x:f>
        <x:v>900</x:v>
      </x:c>
    </x:row>
    <x:row r="6">
      <x:c r="A6" s="37" t="str">
        <x:v>Requested End Date</x:v>
      </x:c>
      <x:c r="B6" s="39" t="n">
        <x:v>46272</x:v>
      </x:c>
      <x:c r="D6" t="str">
        <x:v>Maintenance hold</x:v>
      </x:c>
      <x:c r="E6" t="n">
        <x:f>SUMIF('Inventory'!$A$5:$A$28,$B$4,'Inventory'!$F$5:$F$28)</x:f>
        <x:v>38</x:v>
      </x:c>
    </x:row>
    <x:row r="7">
      <x:c r="A7" s="37" t="str">
        <x:v>Include tentative?</x:v>
      </x:c>
      <x:c r="B7" s="38" t="str">
        <x:v>No</x:v>
      </x:c>
      <x:c r="D7" t="str">
        <x:v>Legacy available to rent</x:v>
      </x:c>
      <x:c r="E7" t="n">
        <x:f>E5-E6</x:f>
        <x:v>862</x:v>
      </x:c>
    </x:row>
    <x:row r="8">
      <x:c r="A8" s="37" t="str">
        <x:v>Note</x:v>
      </x:c>
      <x:c r="B8" s="38" t="str">
        <x:v>Legacy formula counts Confirmed + Out on Rent only</x:v>
      </x:c>
      <x:c r="D8" t="str">
        <x:v>Booked in selected dates</x:v>
      </x:c>
      <x:c r="E8" t="n">
        <x:f>SUMIF(H12:H32,"YES",F12:F32)</x:f>
        <x:v>1200</x:v>
      </x:c>
    </x:row>
    <x:row r="9">
      <x:c r="D9" t="str">
        <x:v>Legacy remaining</x:v>
      </x:c>
      <x:c r="E9" t="n">
        <x:f>E7-E8</x:f>
        <x:v>-338</x:v>
      </x:c>
    </x:row>
    <x:row r="11">
      <x:c r="A11" s="28" t="str">
        <x:v>Rental ID</x:v>
      </x:c>
      <x:c r="B11" s="33" t="str">
        <x:v>Event / Job</x:v>
      </x:c>
      <x:c r="C11" s="33" t="str">
        <x:v>Start Date</x:v>
      </x:c>
      <x:c r="D11" s="33" t="str">
        <x:v>End Date</x:v>
      </x:c>
      <x:c r="E11" s="33" t="str">
        <x:v>Rental Status</x:v>
      </x:c>
      <x:c r="F11" s="33" t="str">
        <x:v>Qty Requested</x:v>
      </x:c>
      <x:c r="G11" s="33" t="str">
        <x:v>Overlap?</x:v>
      </x:c>
      <x:c r="H11" s="33" t="str">
        <x:v>Counted by legacy?</x:v>
      </x:c>
      <x:c r="I11" s="33" t="str">
        <x:v>Risk Note</x:v>
      </x:c>
      <x:c r="J11" s="29" t="str">
        <x:v>Sales action</x:v>
      </x:c>
    </x:row>
    <x:row r="12">
      <x:c r="A12" t="str">
        <x:v>R-26084</x:v>
      </x:c>
      <x:c r="B12" t="str">
        <x:v>Prism Valley Campout</x:v>
      </x:c>
      <x:c r="C12" s="36" t="n">
        <x:v>46262</x:v>
      </x:c>
      <x:c r="D12" s="36" t="n">
        <x:v>46265</x:v>
      </x:c>
      <x:c r="E12" t="str">
        <x:v>Out on Rent</x:v>
      </x:c>
      <x:c r="F12" s="34" t="n">
        <x:f>SUMIFS('Rental Line Items'!$E$5:$E$104,'Rental Line Items'!$B$5:$B$104,A12,'Rental Line Items'!$C$5:$C$104,$B$4)</x:f>
        <x:v>650</x:v>
      </x:c>
      <x:c r="G12" t="str">
        <x:f>IF(AND(C12&lt;=$B$6,D12&gt;=$B$5),"YES","NO")</x:f>
        <x:v>NO</x:v>
      </x:c>
      <x:c r="H12" t="str">
        <x:f>IF(AND(G12="YES",OR(E12="Confirmed",E12="Out on Rent")),"YES","NO")</x:f>
        <x:v>NO</x:v>
      </x:c>
      <x:c r="I12" t="str">
        <x:f>IF(AND(G12="YES",E12="Tentative"),"Tentative is ignored",IF(AND(G12="YES",E12="Canceled"),"Canceled lines still exist",IF(AND(G12="YES",E12="Confirmed"),"Check item-level count", "")))</x:f>
      </x:c>
      <x:c r="J12" t="str">
        <x:f>IF(G12="NO","None",IF(H12="YES","Reserve / verify","Confirm status"))</x:f>
        <x:v>None</x:v>
      </x:c>
    </x:row>
    <x:row r="13">
      <x:c r="A13" t="str">
        <x:v>R-26085</x:v>
      </x:c>
      <x:c r="B13" t="str">
        <x:v>Bassline Assembly: Backroom</x:v>
      </x:c>
      <x:c r="C13" s="36" t="n">
        <x:v>46263</x:v>
      </x:c>
      <x:c r="D13" s="36" t="n">
        <x:v>46264</x:v>
      </x:c>
      <x:c r="E13" t="str">
        <x:v>Out on Rent</x:v>
      </x:c>
      <x:c r="F13" s="34" t="n">
        <x:f>SUMIFS('Rental Line Items'!$E$5:$E$104,'Rental Line Items'!$B$5:$B$104,A13,'Rental Line Items'!$C$5:$C$104,$B$4)</x:f>
        <x:v>300</x:v>
      </x:c>
      <x:c r="G13" t="str">
        <x:f>IF(AND(C13&lt;=$B$6,D13&gt;=$B$5),"YES","NO")</x:f>
        <x:v>NO</x:v>
      </x:c>
      <x:c r="H13" t="str">
        <x:f>IF(AND(G13="YES",OR(E13="Confirmed",E13="Out on Rent")),"YES","NO")</x:f>
        <x:v>NO</x:v>
      </x:c>
      <x:c r="I13" t="str">
        <x:f>IF(AND(G13="YES",E13="Tentative"),"Tentative is ignored",IF(AND(G13="YES",E13="Canceled"),"Canceled lines still exist",IF(AND(G13="YES",E13="Confirmed"),"Check item-level count", "")))</x:f>
      </x:c>
      <x:c r="J13" t="str">
        <x:f>IF(G13="NO","None",IF(H13="YES","Reserve / verify","Confirm status"))</x:f>
        <x:v>None</x:v>
      </x:c>
    </x:row>
    <x:row r="14">
      <x:c r="A14" t="str">
        <x:v>R-26086</x:v>
      </x:c>
      <x:c r="B14" t="str">
        <x:v>Kestrel: September Opening</x:v>
      </x:c>
      <x:c r="C14" s="36" t="n">
        <x:v>46269</x:v>
      </x:c>
      <x:c r="D14" s="36" t="n">
        <x:v>46270</x:v>
      </x:c>
      <x:c r="E14" t="str">
        <x:v>Confirmed</x:v>
      </x:c>
      <x:c r="F14" s="34" t="n">
        <x:f>SUMIFS('Rental Line Items'!$E$5:$E$104,'Rental Line Items'!$B$5:$B$104,A14,'Rental Line Items'!$C$5:$C$104,$B$4)</x:f>
        <x:v>500</x:v>
      </x:c>
      <x:c r="G14" t="str">
        <x:f>IF(AND(C14&lt;=$B$6,D14&gt;=$B$5),"YES","NO")</x:f>
        <x:v>YES</x:v>
      </x:c>
      <x:c r="H14" t="str">
        <x:f>IF(AND(G14="YES",OR(E14="Confirmed",E14="Out on Rent")),"YES","NO")</x:f>
        <x:v>YES</x:v>
      </x:c>
      <x:c r="I14" t="str">
        <x:f>IF(AND(G14="YES",E14="Tentative"),"Tentative is ignored",IF(AND(G14="YES",E14="Canceled"),"Canceled lines still exist",IF(AND(G14="YES",E14="Confirmed"),"Check item-level count", "")))</x:f>
        <x:v>Check item-level count</x:v>
      </x:c>
      <x:c r="J14" t="str">
        <x:f>IF(G14="NO","None",IF(H14="YES","Reserve / verify","Confirm status"))</x:f>
        <x:v>Reserve / verify</x:v>
      </x:c>
    </x:row>
    <x:row r="15">
      <x:c r="A15" t="str">
        <x:v>R-26087</x:v>
      </x:c>
      <x:c r="B15" t="str">
        <x:v>Lumen Lot: Equinox</x:v>
      </x:c>
      <x:c r="C15" s="36" t="n">
        <x:v>46270</x:v>
      </x:c>
      <x:c r="D15" s="36" t="n">
        <x:v>46272</x:v>
      </x:c>
      <x:c r="E15" t="str">
        <x:v>Confirmed</x:v>
      </x:c>
      <x:c r="F15" s="34" t="n">
        <x:f>SUMIFS('Rental Line Items'!$E$5:$E$104,'Rental Line Items'!$B$5:$B$104,A15,'Rental Line Items'!$C$5:$C$104,$B$4)</x:f>
        <x:v>700</x:v>
      </x:c>
      <x:c r="G15" t="str">
        <x:f>IF(AND(C15&lt;=$B$6,D15&gt;=$B$5),"YES","NO")</x:f>
        <x:v>YES</x:v>
      </x:c>
      <x:c r="H15" t="str">
        <x:f>IF(AND(G15="YES",OR(E15="Confirmed",E15="Out on Rent")),"YES","NO")</x:f>
        <x:v>YES</x:v>
      </x:c>
      <x:c r="I15" t="str">
        <x:f>IF(AND(G15="YES",E15="Tentative"),"Tentative is ignored",IF(AND(G15="YES",E15="Canceled"),"Canceled lines still exist",IF(AND(G15="YES",E15="Confirmed"),"Check item-level count", "")))</x:f>
        <x:v>Check item-level count</x:v>
      </x:c>
      <x:c r="J15" t="str">
        <x:f>IF(G15="NO","None",IF(H15="YES","Reserve / verify","Confirm status"))</x:f>
        <x:v>Reserve / verify</x:v>
      </x:c>
    </x:row>
    <x:row r="16">
      <x:c r="A16" t="str">
        <x:v>R-26088</x:v>
      </x:c>
      <x:c r="B16" t="str">
        <x:v>Static Bloom: Loft</x:v>
      </x:c>
      <x:c r="C16" s="36" t="n">
        <x:v>46271</x:v>
      </x:c>
      <x:c r="D16" s="36" t="n">
        <x:v>46271</x:v>
      </x:c>
      <x:c r="E16" t="str">
        <x:v>Tentative</x:v>
      </x:c>
      <x:c r="F16" s="34" t="n">
        <x:f>SUMIFS('Rental Line Items'!$E$5:$E$104,'Rental Line Items'!$B$5:$B$104,A16,'Rental Line Items'!$C$5:$C$104,$B$4)</x:f>
        <x:v>0</x:v>
      </x:c>
      <x:c r="G16" t="str">
        <x:f>IF(AND(C16&lt;=$B$6,D16&gt;=$B$5),"YES","NO")</x:f>
        <x:v>YES</x:v>
      </x:c>
      <x:c r="H16" t="str">
        <x:f>IF(AND(G16="YES",OR(E16="Confirmed",E16="Out on Rent")),"YES","NO")</x:f>
        <x:v>NO</x:v>
      </x:c>
      <x:c r="I16" t="str">
        <x:f>IF(AND(G16="YES",E16="Tentative"),"Tentative is ignored",IF(AND(G16="YES",E16="Canceled"),"Canceled lines still exist",IF(AND(G16="YES",E16="Confirmed"),"Check item-level count", "")))</x:f>
        <x:v>Tentative is ignored</x:v>
      </x:c>
      <x:c r="J16" t="str">
        <x:f>IF(G16="NO","None",IF(H16="YES","Reserve / verify","Confirm status"))</x:f>
        <x:v>Confirm status</x:v>
      </x:c>
    </x:row>
    <x:row r="17">
      <x:c r="A17" t="str">
        <x:v>R-26089</x:v>
      </x:c>
      <x:c r="B17" t="str">
        <x:v>Half-Step: Client Party</x:v>
      </x:c>
      <x:c r="C17" s="36" t="n">
        <x:v>46276</x:v>
      </x:c>
      <x:c r="D17" s="36" t="n">
        <x:v>46277</x:v>
      </x:c>
      <x:c r="E17" t="str">
        <x:v>Confirmed</x:v>
      </x:c>
      <x:c r="F17" s="34" t="n">
        <x:f>SUMIFS('Rental Line Items'!$E$5:$E$104,'Rental Line Items'!$B$5:$B$104,A17,'Rental Line Items'!$C$5:$C$104,$B$4)</x:f>
        <x:v>0</x:v>
      </x:c>
      <x:c r="G17" t="str">
        <x:f>IF(AND(C17&lt;=$B$6,D17&gt;=$B$5),"YES","NO")</x:f>
        <x:v>NO</x:v>
      </x:c>
      <x:c r="H17" t="str">
        <x:f>IF(AND(G17="YES",OR(E17="Confirmed",E17="Out on Rent")),"YES","NO")</x:f>
        <x:v>NO</x:v>
      </x:c>
      <x:c r="I17" t="str">
        <x:f>IF(AND(G17="YES",E17="Tentative"),"Tentative is ignored",IF(AND(G17="YES",E17="Canceled"),"Canceled lines still exist",IF(AND(G17="YES",E17="Confirmed"),"Check item-level count", "")))</x:f>
      </x:c>
      <x:c r="J17" t="str">
        <x:f>IF(G17="NO","None",IF(H17="YES","Reserve / verify","Confirm status"))</x:f>
        <x:v>None</x:v>
      </x:c>
    </x:row>
    <x:row r="18">
      <x:c r="A18" t="str">
        <x:v>R-26090</x:v>
      </x:c>
      <x:c r="B18" t="str">
        <x:v>Mirage Market: Nocturne</x:v>
      </x:c>
      <x:c r="C18" s="36" t="n">
        <x:v>46277</x:v>
      </x:c>
      <x:c r="D18" s="36" t="n">
        <x:v>46278</x:v>
      </x:c>
      <x:c r="E18" t="str">
        <x:v>Tentative</x:v>
      </x:c>
      <x:c r="F18" s="34" t="n">
        <x:f>SUMIFS('Rental Line Items'!$E$5:$E$104,'Rental Line Items'!$B$5:$B$104,A18,'Rental Line Items'!$C$5:$C$104,$B$4)</x:f>
        <x:v>0</x:v>
      </x:c>
      <x:c r="G18" t="str">
        <x:f>IF(AND(C18&lt;=$B$6,D18&gt;=$B$5),"YES","NO")</x:f>
        <x:v>NO</x:v>
      </x:c>
      <x:c r="H18" t="str">
        <x:f>IF(AND(G18="YES",OR(E18="Confirmed",E18="Out on Rent")),"YES","NO")</x:f>
        <x:v>NO</x:v>
      </x:c>
      <x:c r="I18" t="str">
        <x:f>IF(AND(G18="YES",E18="Tentative"),"Tentative is ignored",IF(AND(G18="YES",E18="Canceled"),"Canceled lines still exist",IF(AND(G18="YES",E18="Confirmed"),"Check item-level count", "")))</x:f>
      </x:c>
      <x:c r="J18" t="str">
        <x:f>IF(G18="NO","None",IF(H18="YES","Reserve / verify","Confirm status"))</x:f>
        <x:v>None</x:v>
      </x:c>
    </x:row>
    <x:row r="19">
      <x:c r="A19" t="str">
        <x:v>R-26091</x:v>
      </x:c>
      <x:c r="B19" t="str">
        <x:v>Submerge: September Session</x:v>
      </x:c>
      <x:c r="C19" s="36" t="n">
        <x:v>46277</x:v>
      </x:c>
      <x:c r="D19" s="36" t="n">
        <x:v>46278</x:v>
      </x:c>
      <x:c r="E19" t="str">
        <x:v>Confirmed</x:v>
      </x:c>
      <x:c r="F19" s="34" t="n">
        <x:f>SUMIFS('Rental Line Items'!$E$5:$E$104,'Rental Line Items'!$B$5:$B$104,A19,'Rental Line Items'!$C$5:$C$104,$B$4)</x:f>
        <x:v>350</x:v>
      </x:c>
      <x:c r="G19" t="str">
        <x:f>IF(AND(C19&lt;=$B$6,D19&gt;=$B$5),"YES","NO")</x:f>
        <x:v>NO</x:v>
      </x:c>
      <x:c r="H19" t="str">
        <x:f>IF(AND(G19="YES",OR(E19="Confirmed",E19="Out on Rent")),"YES","NO")</x:f>
        <x:v>NO</x:v>
      </x:c>
      <x:c r="I19" t="str">
        <x:f>IF(AND(G19="YES",E19="Tentative"),"Tentative is ignored",IF(AND(G19="YES",E19="Canceled"),"Canceled lines still exist",IF(AND(G19="YES",E19="Confirmed"),"Check item-level count", "")))</x:f>
      </x:c>
      <x:c r="J19" t="str">
        <x:f>IF(G19="NO","None",IF(H19="YES","Reserve / verify","Confirm status"))</x:f>
        <x:v>None</x:v>
      </x:c>
    </x:row>
    <x:row r="20">
      <x:c r="A20" t="str">
        <x:v>R-26092</x:v>
      </x:c>
      <x:c r="B20" t="str">
        <x:v>Mothlight Installation</x:v>
      </x:c>
      <x:c r="C20" s="36" t="n">
        <x:v>46283</x:v>
      </x:c>
      <x:c r="D20" s="36" t="n">
        <x:v>46286</x:v>
      </x:c>
      <x:c r="E20" t="str">
        <x:v>Confirmed</x:v>
      </x:c>
      <x:c r="F20" s="34" t="n">
        <x:f>SUMIFS('Rental Line Items'!$E$5:$E$104,'Rental Line Items'!$B$5:$B$104,A20,'Rental Line Items'!$C$5:$C$104,$B$4)</x:f>
        <x:v>0</x:v>
      </x:c>
      <x:c r="G20" t="str">
        <x:f>IF(AND(C20&lt;=$B$6,D20&gt;=$B$5),"YES","NO")</x:f>
        <x:v>NO</x:v>
      </x:c>
      <x:c r="H20" t="str">
        <x:f>IF(AND(G20="YES",OR(E20="Confirmed",E20="Out on Rent")),"YES","NO")</x:f>
        <x:v>NO</x:v>
      </x:c>
      <x:c r="I20" t="str">
        <x:f>IF(AND(G20="YES",E20="Tentative"),"Tentative is ignored",IF(AND(G20="YES",E20="Canceled"),"Canceled lines still exist",IF(AND(G20="YES",E20="Confirmed"),"Check item-level count", "")))</x:f>
      </x:c>
      <x:c r="J20" t="str">
        <x:f>IF(G20="NO","None",IF(H20="YES","Reserve / verify","Confirm status"))</x:f>
        <x:v>None</x:v>
      </x:c>
    </x:row>
    <x:row r="21">
      <x:c r="A21" t="str">
        <x:v>R-26093</x:v>
      </x:c>
      <x:c r="B21" t="str">
        <x:v>BPM Society: Fall Welcome</x:v>
      </x:c>
      <x:c r="C21" s="36" t="n">
        <x:v>46284</x:v>
      </x:c>
      <x:c r="D21" s="36" t="n">
        <x:v>46285</x:v>
      </x:c>
      <x:c r="E21" t="str">
        <x:v>Tentative</x:v>
      </x:c>
      <x:c r="F21" s="34" t="n">
        <x:f>SUMIFS('Rental Line Items'!$E$5:$E$104,'Rental Line Items'!$B$5:$B$104,A21,'Rental Line Items'!$C$5:$C$104,$B$4)</x:f>
        <x:v>480</x:v>
      </x:c>
      <x:c r="G21" t="str">
        <x:f>IF(AND(C21&lt;=$B$6,D21&gt;=$B$5),"YES","NO")</x:f>
        <x:v>NO</x:v>
      </x:c>
      <x:c r="H21" t="str">
        <x:f>IF(AND(G21="YES",OR(E21="Confirmed",E21="Out on Rent")),"YES","NO")</x:f>
        <x:v>NO</x:v>
      </x:c>
      <x:c r="I21" t="str">
        <x:f>IF(AND(G21="YES",E21="Tentative"),"Tentative is ignored",IF(AND(G21="YES",E21="Canceled"),"Canceled lines still exist",IF(AND(G21="YES",E21="Confirmed"),"Check item-level count", "")))</x:f>
      </x:c>
      <x:c r="J21" t="str">
        <x:f>IF(G21="NO","None",IF(H21="YES","Reserve / verify","Confirm status"))</x:f>
        <x:v>None</x:v>
      </x:c>
    </x:row>
    <x:row r="22">
      <x:c r="A22" t="str">
        <x:v>R-26094</x:v>
      </x:c>
      <x:c r="B22" t="str">
        <x:v>Raincheck: End of Summer</x:v>
      </x:c>
      <x:c r="C22" s="36" t="n">
        <x:v>46284</x:v>
      </x:c>
      <x:c r="D22" s="36" t="n">
        <x:v>46286</x:v>
      </x:c>
      <x:c r="E22" t="str">
        <x:v>Confirmed</x:v>
      </x:c>
      <x:c r="F22" s="34" t="n">
        <x:f>SUMIFS('Rental Line Items'!$E$5:$E$104,'Rental Line Items'!$B$5:$B$104,A22,'Rental Line Items'!$C$5:$C$104,$B$4)</x:f>
        <x:v>0</x:v>
      </x:c>
      <x:c r="G22" t="str">
        <x:f>IF(AND(C22&lt;=$B$6,D22&gt;=$B$5),"YES","NO")</x:f>
        <x:v>NO</x:v>
      </x:c>
      <x:c r="H22" t="str">
        <x:f>IF(AND(G22="YES",OR(E22="Confirmed",E22="Out on Rent")),"YES","NO")</x:f>
        <x:v>NO</x:v>
      </x:c>
      <x:c r="I22" t="str">
        <x:f>IF(AND(G22="YES",E22="Tentative"),"Tentative is ignored",IF(AND(G22="YES",E22="Canceled"),"Canceled lines still exist",IF(AND(G22="YES",E22="Confirmed"),"Check item-level count", "")))</x:f>
      </x:c>
      <x:c r="J22" t="str">
        <x:f>IF(G22="NO","None",IF(H22="YES","Reserve / verify","Confirm status"))</x:f>
        <x:v>None</x:v>
      </x:c>
    </x:row>
    <x:row r="23">
      <x:c r="A23" t="str">
        <x:v>R-26095</x:v>
      </x:c>
      <x:c r="B23" t="str">
        <x:v>Pulse Junction: Open Air</x:v>
      </x:c>
      <x:c r="C23" s="36" t="n">
        <x:v>46290</x:v>
      </x:c>
      <x:c r="D23" s="36" t="n">
        <x:v>46292</x:v>
      </x:c>
      <x:c r="E23" t="str">
        <x:v>Tentative</x:v>
      </x:c>
      <x:c r="F23" s="34" t="n">
        <x:f>SUMIFS('Rental Line Items'!$E$5:$E$104,'Rental Line Items'!$B$5:$B$104,A23,'Rental Line Items'!$C$5:$C$104,$B$4)</x:f>
        <x:v>720</x:v>
      </x:c>
      <x:c r="G23" t="str">
        <x:f>IF(AND(C23&lt;=$B$6,D23&gt;=$B$5),"YES","NO")</x:f>
        <x:v>NO</x:v>
      </x:c>
      <x:c r="H23" t="str">
        <x:f>IF(AND(G23="YES",OR(E23="Confirmed",E23="Out on Rent")),"YES","NO")</x:f>
        <x:v>NO</x:v>
      </x:c>
      <x:c r="I23" t="str">
        <x:f>IF(AND(G23="YES",E23="Tentative"),"Tentative is ignored",IF(AND(G23="YES",E23="Canceled"),"Canceled lines still exist",IF(AND(G23="YES",E23="Confirmed"),"Check item-level count", "")))</x:f>
      </x:c>
      <x:c r="J23" t="str">
        <x:f>IF(G23="NO","None",IF(H23="YES","Reserve / verify","Confirm status"))</x:f>
        <x:v>None</x:v>
      </x:c>
    </x:row>
    <x:row r="24">
      <x:c r="A24" t="str">
        <x:v>R-26096</x:v>
      </x:c>
      <x:c r="B24" t="str">
        <x:v>Orbit Room: Label Showcase</x:v>
      </x:c>
      <x:c r="C24" s="36" t="n">
        <x:v>46291</x:v>
      </x:c>
      <x:c r="D24" s="36" t="n">
        <x:v>46292</x:v>
      </x:c>
      <x:c r="E24" t="str">
        <x:v>Confirmed</x:v>
      </x:c>
      <x:c r="F24" s="34" t="n">
        <x:f>SUMIFS('Rental Line Items'!$E$5:$E$104,'Rental Line Items'!$B$5:$B$104,A24,'Rental Line Items'!$C$5:$C$104,$B$4)</x:f>
        <x:v>0</x:v>
      </x:c>
      <x:c r="G24" t="str">
        <x:f>IF(AND(C24&lt;=$B$6,D24&gt;=$B$5),"YES","NO")</x:f>
        <x:v>NO</x:v>
      </x:c>
      <x:c r="H24" t="str">
        <x:f>IF(AND(G24="YES",OR(E24="Confirmed",E24="Out on Rent")),"YES","NO")</x:f>
        <x:v>NO</x:v>
      </x:c>
      <x:c r="I24" t="str">
        <x:f>IF(AND(G24="YES",E24="Tentative"),"Tentative is ignored",IF(AND(G24="YES",E24="Canceled"),"Canceled lines still exist",IF(AND(G24="YES",E24="Confirmed"),"Check item-level count", "")))</x:f>
      </x:c>
      <x:c r="J24" t="str">
        <x:f>IF(G24="NO","None",IF(H24="YES","Reserve / verify","Confirm status"))</x:f>
        <x:v>None</x:v>
      </x:c>
    </x:row>
    <x:row r="25">
      <x:c r="A25" t="str">
        <x:v>R-26097</x:v>
      </x:c>
      <x:c r="B25" t="str">
        <x:v>Mosaic House: Closing</x:v>
      </x:c>
      <x:c r="C25" s="36" t="n">
        <x:v>46297</x:v>
      </x:c>
      <x:c r="D25" s="36" t="n">
        <x:v>46298</x:v>
      </x:c>
      <x:c r="E25" t="str">
        <x:v>Canceled</x:v>
      </x:c>
      <x:c r="F25" s="34" t="n">
        <x:f>SUMIFS('Rental Line Items'!$E$5:$E$104,'Rental Line Items'!$B$5:$B$104,A25,'Rental Line Items'!$C$5:$C$104,$B$4)</x:f>
        <x:v>260</x:v>
      </x:c>
      <x:c r="G25" t="str">
        <x:f>IF(AND(C25&lt;=$B$6,D25&gt;=$B$5),"YES","NO")</x:f>
        <x:v>NO</x:v>
      </x:c>
      <x:c r="H25" t="str">
        <x:f>IF(AND(G25="YES",OR(E25="Confirmed",E25="Out on Rent")),"YES","NO")</x:f>
        <x:v>NO</x:v>
      </x:c>
      <x:c r="I25" t="str">
        <x:f>IF(AND(G25="YES",E25="Tentative"),"Tentative is ignored",IF(AND(G25="YES",E25="Canceled"),"Canceled lines still exist",IF(AND(G25="YES",E25="Confirmed"),"Check item-level count", "")))</x:f>
      </x:c>
      <x:c r="J25" t="str">
        <x:f>IF(G25="NO","None",IF(H25="YES","Reserve / verify","Confirm status"))</x:f>
        <x:v>None</x:v>
      </x:c>
    </x:row>
    <x:row r="26">
      <x:c r="A26" t="str">
        <x:v>R-26098</x:v>
      </x:c>
      <x:c r="B26" t="str">
        <x:v>East River Arts: Light Walk</x:v>
      </x:c>
      <x:c r="C26" s="36" t="n">
        <x:v>46298</x:v>
      </x:c>
      <x:c r="D26" s="36" t="n">
        <x:v>46300</x:v>
      </x:c>
      <x:c r="E26" t="str">
        <x:v>Tentative</x:v>
      </x:c>
      <x:c r="F26" s="34" t="n">
        <x:f>SUMIFS('Rental Line Items'!$E$5:$E$104,'Rental Line Items'!$B$5:$B$104,A26,'Rental Line Items'!$C$5:$C$104,$B$4)</x:f>
        <x:v>0</x:v>
      </x:c>
      <x:c r="G26" t="str">
        <x:f>IF(AND(C26&lt;=$B$6,D26&gt;=$B$5),"YES","NO")</x:f>
        <x:v>NO</x:v>
      </x:c>
      <x:c r="H26" t="str">
        <x:f>IF(AND(G26="YES",OR(E26="Confirmed",E26="Out on Rent")),"YES","NO")</x:f>
        <x:v>NO</x:v>
      </x:c>
      <x:c r="I26" t="str">
        <x:f>IF(AND(G26="YES",E26="Tentative"),"Tentative is ignored",IF(AND(G26="YES",E26="Canceled"),"Canceled lines still exist",IF(AND(G26="YES",E26="Confirmed"),"Check item-level count", "")))</x:f>
      </x:c>
      <x:c r="J26" t="str">
        <x:f>IF(G26="NO","None",IF(H26="YES","Reserve / verify","Confirm status"))</x:f>
        <x:v>None</x:v>
      </x:c>
    </x:row>
    <x:row r="27">
      <x:c r="A27" t="str">
        <x:v>R-26099</x:v>
      </x:c>
      <x:c r="B27" t="str">
        <x:v>Afterimage: Product Reveal</x:v>
      </x:c>
      <x:c r="C27" s="36" t="n">
        <x:v>46304</x:v>
      </x:c>
      <x:c r="D27" s="36" t="n">
        <x:v>46305</x:v>
      </x:c>
      <x:c r="E27" t="str">
        <x:v>Confirmed</x:v>
      </x:c>
      <x:c r="F27" s="34" t="n">
        <x:f>SUMIFS('Rental Line Items'!$E$5:$E$104,'Rental Line Items'!$B$5:$B$104,A27,'Rental Line Items'!$C$5:$C$104,$B$4)</x:f>
        <x:v>400</x:v>
      </x:c>
      <x:c r="G27" t="str">
        <x:f>IF(AND(C27&lt;=$B$6,D27&gt;=$B$5),"YES","NO")</x:f>
        <x:v>NO</x:v>
      </x:c>
      <x:c r="H27" t="str">
        <x:f>IF(AND(G27="YES",OR(E27="Confirmed",E27="Out on Rent")),"YES","NO")</x:f>
        <x:v>NO</x:v>
      </x:c>
      <x:c r="I27" t="str">
        <x:f>IF(AND(G27="YES",E27="Tentative"),"Tentative is ignored",IF(AND(G27="YES",E27="Canceled"),"Canceled lines still exist",IF(AND(G27="YES",E27="Confirmed"),"Check item-level count", "")))</x:f>
      </x:c>
      <x:c r="J27" t="str">
        <x:f>IF(G27="NO","None",IF(H27="YES","Reserve / verify","Confirm status"))</x:f>
        <x:v>None</x:v>
      </x:c>
    </x:row>
    <x:row r="28">
      <x:c r="A28" t="str">
        <x:v>R-26100</x:v>
      </x:c>
      <x:c r="B28" t="str">
        <x:v>Blue Hour: Harvest</x:v>
      </x:c>
      <x:c r="C28" s="36" t="n">
        <x:v>46305</x:v>
      </x:c>
      <x:c r="D28" s="36" t="n">
        <x:v>46306</x:v>
      </x:c>
      <x:c r="E28" t="str">
        <x:v>Tentative</x:v>
      </x:c>
      <x:c r="F28" s="34" t="n">
        <x:f>SUMIFS('Rental Line Items'!$E$5:$E$104,'Rental Line Items'!$B$5:$B$104,A28,'Rental Line Items'!$C$5:$C$104,$B$4)</x:f>
        <x:v>0</x:v>
      </x:c>
      <x:c r="G28" t="str">
        <x:f>IF(AND(C28&lt;=$B$6,D28&gt;=$B$5),"YES","NO")</x:f>
        <x:v>NO</x:v>
      </x:c>
      <x:c r="H28" t="str">
        <x:f>IF(AND(G28="YES",OR(E28="Confirmed",E28="Out on Rent")),"YES","NO")</x:f>
        <x:v>NO</x:v>
      </x:c>
      <x:c r="I28" t="str">
        <x:f>IF(AND(G28="YES",E28="Tentative"),"Tentative is ignored",IF(AND(G28="YES",E28="Canceled"),"Canceled lines still exist",IF(AND(G28="YES",E28="Confirmed"),"Check item-level count", "")))</x:f>
      </x:c>
      <x:c r="J28" t="str">
        <x:f>IF(G28="NO","None",IF(H28="YES","Reserve / verify","Confirm status"))</x:f>
        <x:v>None</x:v>
      </x:c>
    </x:row>
    <x:row r="29">
      <x:c r="A29" t="str">
        <x:v>R-26101</x:v>
      </x:c>
      <x:c r="B29" t="str">
        <x:v>Tidepool: Listening Room</x:v>
      </x:c>
      <x:c r="C29" s="36" t="n">
        <x:v>46311</x:v>
      </x:c>
      <x:c r="D29" s="36" t="n">
        <x:v>46312</x:v>
      </x:c>
      <x:c r="E29" t="str">
        <x:v>Confirmed</x:v>
      </x:c>
      <x:c r="F29" s="34" t="n">
        <x:f>SUMIFS('Rental Line Items'!$E$5:$E$104,'Rental Line Items'!$B$5:$B$104,A29,'Rental Line Items'!$C$5:$C$104,$B$4)</x:f>
        <x:v>0</x:v>
      </x:c>
      <x:c r="G29" t="str">
        <x:f>IF(AND(C29&lt;=$B$6,D29&gt;=$B$5),"YES","NO")</x:f>
        <x:v>NO</x:v>
      </x:c>
      <x:c r="H29" t="str">
        <x:f>IF(AND(G29="YES",OR(E29="Confirmed",E29="Out on Rent")),"YES","NO")</x:f>
        <x:v>NO</x:v>
      </x:c>
      <x:c r="I29" t="str">
        <x:f>IF(AND(G29="YES",E29="Tentative"),"Tentative is ignored",IF(AND(G29="YES",E29="Canceled"),"Canceled lines still exist",IF(AND(G29="YES",E29="Confirmed"),"Check item-level count", "")))</x:f>
      </x:c>
      <x:c r="J29" t="str">
        <x:f>IF(G29="NO","None",IF(H29="YES","Reserve / verify","Confirm status"))</x:f>
        <x:v>None</x:v>
      </x:c>
    </x:row>
    <x:row r="30">
      <x:c r="A30" t="str">
        <x:v>R-26102</x:v>
      </x:c>
      <x:c r="B30" t="str">
        <x:v>Dawn Circuit: Warehouse</x:v>
      </x:c>
      <x:c r="C30" s="36" t="n">
        <x:v>46312</x:v>
      </x:c>
      <x:c r="D30" s="36" t="n">
        <x:v>46313</x:v>
      </x:c>
      <x:c r="E30" t="str">
        <x:v>Tentative</x:v>
      </x:c>
      <x:c r="F30" s="34" t="n">
        <x:f>SUMIFS('Rental Line Items'!$E$5:$E$104,'Rental Line Items'!$B$5:$B$104,A30,'Rental Line Items'!$C$5:$C$104,$B$4)</x:f>
        <x:v>620</x:v>
      </x:c>
      <x:c r="G30" t="str">
        <x:f>IF(AND(C30&lt;=$B$6,D30&gt;=$B$5),"YES","NO")</x:f>
        <x:v>NO</x:v>
      </x:c>
      <x:c r="H30" t="str">
        <x:f>IF(AND(G30="YES",OR(E30="Confirmed",E30="Out on Rent")),"YES","NO")</x:f>
        <x:v>NO</x:v>
      </x:c>
      <x:c r="I30" t="str">
        <x:f>IF(AND(G30="YES",E30="Tentative"),"Tentative is ignored",IF(AND(G30="YES",E30="Canceled"),"Canceled lines still exist",IF(AND(G30="YES",E30="Confirmed"),"Check item-level count", "")))</x:f>
      </x:c>
      <x:c r="J30" t="str">
        <x:f>IF(G30="NO","None",IF(H30="YES","Reserve / verify","Confirm status"))</x:f>
        <x:v>None</x:v>
      </x:c>
    </x:row>
    <x:row r="31">
      <x:c r="A31" t="str">
        <x:v>R-26103</x:v>
      </x:c>
      <x:c r="B31" t="str">
        <x:v>Prism Valley: Autumn</x:v>
      </x:c>
      <x:c r="C31" s="36" t="n">
        <x:v>46318</x:v>
      </x:c>
      <x:c r="D31" s="36" t="n">
        <x:v>46320</x:v>
      </x:c>
      <x:c r="E31" t="str">
        <x:v>Tentative</x:v>
      </x:c>
      <x:c r="F31" s="34" t="n">
        <x:f>SUMIFS('Rental Line Items'!$E$5:$E$104,'Rental Line Items'!$B$5:$B$104,A31,'Rental Line Items'!$C$5:$C$104,$B$4)</x:f>
        <x:v>780</x:v>
      </x:c>
      <x:c r="G31" t="str">
        <x:f>IF(AND(C31&lt;=$B$6,D31&gt;=$B$5),"YES","NO")</x:f>
        <x:v>NO</x:v>
      </x:c>
      <x:c r="H31" t="str">
        <x:f>IF(AND(G31="YES",OR(E31="Confirmed",E31="Out on Rent")),"YES","NO")</x:f>
        <x:v>NO</x:v>
      </x:c>
      <x:c r="I31" t="str">
        <x:f>IF(AND(G31="YES",E31="Tentative"),"Tentative is ignored",IF(AND(G31="YES",E31="Canceled"),"Canceled lines still exist",IF(AND(G31="YES",E31="Confirmed"),"Check item-level count", "")))</x:f>
      </x:c>
      <x:c r="J31" t="str">
        <x:f>IF(G31="NO","None",IF(H31="YES","Reserve / verify","Confirm status"))</x:f>
        <x:v>None</x:v>
      </x:c>
    </x:row>
    <x:row r="32">
      <x:c r="A32" t="str">
        <x:v>R-26104</x:v>
      </x:c>
      <x:c r="B32" t="str">
        <x:v>Velvet Rail: Halloween</x:v>
      </x:c>
      <x:c r="C32" s="36" t="n">
        <x:v>46325</x:v>
      </x:c>
      <x:c r="D32" s="36" t="n">
        <x:v>46326</x:v>
      </x:c>
      <x:c r="E32" t="str">
        <x:v>Confirmed</x:v>
      </x:c>
      <x:c r="F32" s="34" t="n">
        <x:f>SUMIFS('Rental Line Items'!$E$5:$E$104,'Rental Line Items'!$B$5:$B$104,A32,'Rental Line Items'!$C$5:$C$104,$B$4)</x:f>
        <x:v>300</x:v>
      </x:c>
      <x:c r="G32" t="str">
        <x:f>IF(AND(C32&lt;=$B$6,D32&gt;=$B$5),"YES","NO")</x:f>
        <x:v>NO</x:v>
      </x:c>
      <x:c r="H32" t="str">
        <x:f>IF(AND(G32="YES",OR(E32="Confirmed",E32="Out on Rent")),"YES","NO")</x:f>
        <x:v>NO</x:v>
      </x:c>
      <x:c r="I32" t="str">
        <x:f>IF(AND(G32="YES",E32="Tentative"),"Tentative is ignored",IF(AND(G32="YES",E32="Canceled"),"Canceled lines still exist",IF(AND(G32="YES",E32="Confirmed"),"Check item-level count", "")))</x:f>
      </x:c>
      <x:c r="J32" t="str">
        <x:f>IF(G32="NO","None",IF(H32="YES","Reserve / verify","Confirm status"))</x:f>
        <x:v>None</x:v>
      </x:c>
    </x:row>
  </x:sheetData>
  <x:mergeCells>
    <x:mergeCell ref="A1:J1"/>
    <x:mergeCell ref="A2:J2"/>
  </x:mergeCells>
  <x:conditionalFormatting sqref="E9:E9">
    <x:cfRule type="cellIs" dxfId="7" priority="1" operator="lessThan">
      <x:formula>0</x:formula>
    </x:cfRule>
  </x:conditionalFormatting>
  <x:conditionalFormatting sqref="G12:G32">
    <x:cfRule type="containsText" dxfId="8" priority="2" operator="containsText" text="YES"/>
  </x:conditionalFormatting>
  <x:dataValidations count="2">
    <x:dataValidation type="list" sqref="B4">
      <x:formula1>'Inventory'!$A$5:$A$28</x:formula1>
    </x:dataValidation>
    <x:dataValidation type="list" sqref="B7">
      <x:formula1>"No,Yes"</x:formula1>
    </x:dataValidation>
  </x:dataValidations>
  <x:pageMargins left="0.7" right="0.7" top="0.75" bottom="0.75" header="0.3" footer="0.3"/>
</x:worksheet>
</file>